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hana\"/>
    </mc:Choice>
  </mc:AlternateContent>
  <xr:revisionPtr revIDLastSave="0" documentId="13_ncr:1_{46D09A51-2385-4EF9-89A7-DB2FC3EA2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nel_Data" sheetId="1" r:id="rId1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2" i="1"/>
</calcChain>
</file>

<file path=xl/sharedStrings.xml><?xml version="1.0" encoding="utf-8"?>
<sst xmlns="http://schemas.openxmlformats.org/spreadsheetml/2006/main" count="2014" uniqueCount="533">
  <si>
    <t>Lead_ID</t>
  </si>
  <si>
    <t>Date</t>
  </si>
  <si>
    <t>Channel</t>
  </si>
  <si>
    <t>Campaign</t>
  </si>
  <si>
    <t>Funnel_Stage</t>
  </si>
  <si>
    <t>Sessions</t>
  </si>
  <si>
    <t>Leads</t>
  </si>
  <si>
    <t>Qualified_Leads</t>
  </si>
  <si>
    <t>Customers</t>
  </si>
  <si>
    <t>Revenue</t>
  </si>
  <si>
    <t>L001</t>
  </si>
  <si>
    <t>01-01-2024</t>
  </si>
  <si>
    <t>Google Ads</t>
  </si>
  <si>
    <t>Search_Jan</t>
  </si>
  <si>
    <t>Visit</t>
  </si>
  <si>
    <t>L002</t>
  </si>
  <si>
    <t>LinkedIn</t>
  </si>
  <si>
    <t>B2B_Jan</t>
  </si>
  <si>
    <t>Lead</t>
  </si>
  <si>
    <t>L003</t>
  </si>
  <si>
    <t>Email</t>
  </si>
  <si>
    <t>Newsletter_Jan</t>
  </si>
  <si>
    <t>Qualified</t>
  </si>
  <si>
    <t>L004</t>
  </si>
  <si>
    <t>Customer</t>
  </si>
  <si>
    <t>L005</t>
  </si>
  <si>
    <t>02-01-2024</t>
  </si>
  <si>
    <t>L006</t>
  </si>
  <si>
    <t>L007</t>
  </si>
  <si>
    <t>L008</t>
  </si>
  <si>
    <t>L009</t>
  </si>
  <si>
    <t>03-01-2024</t>
  </si>
  <si>
    <t>L010</t>
  </si>
  <si>
    <t>L011</t>
  </si>
  <si>
    <t>L012</t>
  </si>
  <si>
    <t>L013</t>
  </si>
  <si>
    <t>04-01-2024</t>
  </si>
  <si>
    <t>L014</t>
  </si>
  <si>
    <t>L015</t>
  </si>
  <si>
    <t>L016</t>
  </si>
  <si>
    <t>L017</t>
  </si>
  <si>
    <t>05-01-2024</t>
  </si>
  <si>
    <t>L018</t>
  </si>
  <si>
    <t>L019</t>
  </si>
  <si>
    <t>L020</t>
  </si>
  <si>
    <t>L021</t>
  </si>
  <si>
    <t>06-01-2024</t>
  </si>
  <si>
    <t>L022</t>
  </si>
  <si>
    <t>L023</t>
  </si>
  <si>
    <t>L024</t>
  </si>
  <si>
    <t>L025</t>
  </si>
  <si>
    <t>07-01-2024</t>
  </si>
  <si>
    <t>L026</t>
  </si>
  <si>
    <t>L027</t>
  </si>
  <si>
    <t>L028</t>
  </si>
  <si>
    <t>L029</t>
  </si>
  <si>
    <t>08-01-2024</t>
  </si>
  <si>
    <t>L030</t>
  </si>
  <si>
    <t>L031</t>
  </si>
  <si>
    <t>L032</t>
  </si>
  <si>
    <t>L033</t>
  </si>
  <si>
    <t>09-01-2024</t>
  </si>
  <si>
    <t>L034</t>
  </si>
  <si>
    <t>L035</t>
  </si>
  <si>
    <t>L036</t>
  </si>
  <si>
    <t>L037</t>
  </si>
  <si>
    <t>10-01-2024</t>
  </si>
  <si>
    <t>L038</t>
  </si>
  <si>
    <t>L039</t>
  </si>
  <si>
    <t>L040</t>
  </si>
  <si>
    <t>L041</t>
  </si>
  <si>
    <t>11-01-2024</t>
  </si>
  <si>
    <t>L042</t>
  </si>
  <si>
    <t>L043</t>
  </si>
  <si>
    <t>L044</t>
  </si>
  <si>
    <t>L045</t>
  </si>
  <si>
    <t>12-01-2024</t>
  </si>
  <si>
    <t>L046</t>
  </si>
  <si>
    <t>L047</t>
  </si>
  <si>
    <t>L048</t>
  </si>
  <si>
    <t>L049</t>
  </si>
  <si>
    <t>13-01-2024</t>
  </si>
  <si>
    <t>L050</t>
  </si>
  <si>
    <t>L051</t>
  </si>
  <si>
    <t>L052</t>
  </si>
  <si>
    <t>L053</t>
  </si>
  <si>
    <t>14-01-2024</t>
  </si>
  <si>
    <t>L054</t>
  </si>
  <si>
    <t>L055</t>
  </si>
  <si>
    <t>L056</t>
  </si>
  <si>
    <t>L057</t>
  </si>
  <si>
    <t>15-01-2024</t>
  </si>
  <si>
    <t>L058</t>
  </si>
  <si>
    <t>L059</t>
  </si>
  <si>
    <t>L060</t>
  </si>
  <si>
    <t>L061</t>
  </si>
  <si>
    <t>16-01-2024</t>
  </si>
  <si>
    <t>L062</t>
  </si>
  <si>
    <t>L063</t>
  </si>
  <si>
    <t>L064</t>
  </si>
  <si>
    <t>L065</t>
  </si>
  <si>
    <t>17-01-2024</t>
  </si>
  <si>
    <t>L066</t>
  </si>
  <si>
    <t>L067</t>
  </si>
  <si>
    <t>L068</t>
  </si>
  <si>
    <t>L069</t>
  </si>
  <si>
    <t>18-01-2024</t>
  </si>
  <si>
    <t>L070</t>
  </si>
  <si>
    <t>L071</t>
  </si>
  <si>
    <t>L072</t>
  </si>
  <si>
    <t>L073</t>
  </si>
  <si>
    <t>19-01-2024</t>
  </si>
  <si>
    <t>L074</t>
  </si>
  <si>
    <t>L075</t>
  </si>
  <si>
    <t>L076</t>
  </si>
  <si>
    <t>L077</t>
  </si>
  <si>
    <t>20-01-2024</t>
  </si>
  <si>
    <t>L078</t>
  </si>
  <si>
    <t>L079</t>
  </si>
  <si>
    <t>L080</t>
  </si>
  <si>
    <t>L081</t>
  </si>
  <si>
    <t>21-01-2024</t>
  </si>
  <si>
    <t>L082</t>
  </si>
  <si>
    <t>L083</t>
  </si>
  <si>
    <t>L084</t>
  </si>
  <si>
    <t>L085</t>
  </si>
  <si>
    <t>22-01-2024</t>
  </si>
  <si>
    <t>L086</t>
  </si>
  <si>
    <t>L087</t>
  </si>
  <si>
    <t>L088</t>
  </si>
  <si>
    <t>L089</t>
  </si>
  <si>
    <t>23-01-2024</t>
  </si>
  <si>
    <t>L090</t>
  </si>
  <si>
    <t>L091</t>
  </si>
  <si>
    <t>L092</t>
  </si>
  <si>
    <t>L093</t>
  </si>
  <si>
    <t>24-01-2024</t>
  </si>
  <si>
    <t>L094</t>
  </si>
  <si>
    <t>L095</t>
  </si>
  <si>
    <t>L096</t>
  </si>
  <si>
    <t>L097</t>
  </si>
  <si>
    <t>25-01-2024</t>
  </si>
  <si>
    <t>L098</t>
  </si>
  <si>
    <t>L099</t>
  </si>
  <si>
    <t>L100</t>
  </si>
  <si>
    <t>L101</t>
  </si>
  <si>
    <t>26-01-2024</t>
  </si>
  <si>
    <t>L102</t>
  </si>
  <si>
    <t>L103</t>
  </si>
  <si>
    <t>L104</t>
  </si>
  <si>
    <t>L105</t>
  </si>
  <si>
    <t>27-01-2024</t>
  </si>
  <si>
    <t>L106</t>
  </si>
  <si>
    <t>L107</t>
  </si>
  <si>
    <t>L108</t>
  </si>
  <si>
    <t>L109</t>
  </si>
  <si>
    <t>28-01-2024</t>
  </si>
  <si>
    <t>L110</t>
  </si>
  <si>
    <t>L111</t>
  </si>
  <si>
    <t>L112</t>
  </si>
  <si>
    <t>L113</t>
  </si>
  <si>
    <t>29-01-2024</t>
  </si>
  <si>
    <t>L114</t>
  </si>
  <si>
    <t>L115</t>
  </si>
  <si>
    <t>L116</t>
  </si>
  <si>
    <t>L117</t>
  </si>
  <si>
    <t>30-01-2024</t>
  </si>
  <si>
    <t>L118</t>
  </si>
  <si>
    <t>L119</t>
  </si>
  <si>
    <t>L120</t>
  </si>
  <si>
    <t>L121</t>
  </si>
  <si>
    <t>31-01-2024</t>
  </si>
  <si>
    <t>L122</t>
  </si>
  <si>
    <t>L123</t>
  </si>
  <si>
    <t>L124</t>
  </si>
  <si>
    <t>L125</t>
  </si>
  <si>
    <t>01-02-2024</t>
  </si>
  <si>
    <t>B2B_Feb</t>
  </si>
  <si>
    <t>L126</t>
  </si>
  <si>
    <t>Newsletter_Feb</t>
  </si>
  <si>
    <t>L127</t>
  </si>
  <si>
    <t>Search_Feb</t>
  </si>
  <si>
    <t>L128</t>
  </si>
  <si>
    <t>L129</t>
  </si>
  <si>
    <t>02-02-2024</t>
  </si>
  <si>
    <t>L130</t>
  </si>
  <si>
    <t>L131</t>
  </si>
  <si>
    <t>L132</t>
  </si>
  <si>
    <t>L133</t>
  </si>
  <si>
    <t>03-02-2024</t>
  </si>
  <si>
    <t>L134</t>
  </si>
  <si>
    <t>L135</t>
  </si>
  <si>
    <t>L136</t>
  </si>
  <si>
    <t>L137</t>
  </si>
  <si>
    <t>04-02-2024</t>
  </si>
  <si>
    <t>L138</t>
  </si>
  <si>
    <t>L139</t>
  </si>
  <si>
    <t>L140</t>
  </si>
  <si>
    <t>L141</t>
  </si>
  <si>
    <t>05-02-2024</t>
  </si>
  <si>
    <t>L142</t>
  </si>
  <si>
    <t>L143</t>
  </si>
  <si>
    <t>L144</t>
  </si>
  <si>
    <t>L145</t>
  </si>
  <si>
    <t>06-02-2024</t>
  </si>
  <si>
    <t>L146</t>
  </si>
  <si>
    <t>L147</t>
  </si>
  <si>
    <t>L148</t>
  </si>
  <si>
    <t>L149</t>
  </si>
  <si>
    <t>07-02-2024</t>
  </si>
  <si>
    <t>L150</t>
  </si>
  <si>
    <t>L151</t>
  </si>
  <si>
    <t>L152</t>
  </si>
  <si>
    <t>L153</t>
  </si>
  <si>
    <t>08-02-2024</t>
  </si>
  <si>
    <t>L154</t>
  </si>
  <si>
    <t>L155</t>
  </si>
  <si>
    <t>L156</t>
  </si>
  <si>
    <t>L157</t>
  </si>
  <si>
    <t>09-02-2024</t>
  </si>
  <si>
    <t>L158</t>
  </si>
  <si>
    <t>L159</t>
  </si>
  <si>
    <t>L160</t>
  </si>
  <si>
    <t>L161</t>
  </si>
  <si>
    <t>10-02-2024</t>
  </si>
  <si>
    <t>L162</t>
  </si>
  <si>
    <t>L163</t>
  </si>
  <si>
    <t>L164</t>
  </si>
  <si>
    <t>L165</t>
  </si>
  <si>
    <t>11-02-2024</t>
  </si>
  <si>
    <t>L166</t>
  </si>
  <si>
    <t>L167</t>
  </si>
  <si>
    <t>L168</t>
  </si>
  <si>
    <t>L169</t>
  </si>
  <si>
    <t>12-02-2024</t>
  </si>
  <si>
    <t>L170</t>
  </si>
  <si>
    <t>L171</t>
  </si>
  <si>
    <t>L172</t>
  </si>
  <si>
    <t>L173</t>
  </si>
  <si>
    <t>13-02-2024</t>
  </si>
  <si>
    <t>L174</t>
  </si>
  <si>
    <t>L175</t>
  </si>
  <si>
    <t>L176</t>
  </si>
  <si>
    <t>L177</t>
  </si>
  <si>
    <t>14-02-2024</t>
  </si>
  <si>
    <t>L178</t>
  </si>
  <si>
    <t>L179</t>
  </si>
  <si>
    <t>L180</t>
  </si>
  <si>
    <t>L181</t>
  </si>
  <si>
    <t>15-02-2024</t>
  </si>
  <si>
    <t>L182</t>
  </si>
  <si>
    <t>L183</t>
  </si>
  <si>
    <t>L184</t>
  </si>
  <si>
    <t>L185</t>
  </si>
  <si>
    <t>16-02-2024</t>
  </si>
  <si>
    <t>L186</t>
  </si>
  <si>
    <t>L187</t>
  </si>
  <si>
    <t>L188</t>
  </si>
  <si>
    <t>L189</t>
  </si>
  <si>
    <t>17-02-2024</t>
  </si>
  <si>
    <t>L190</t>
  </si>
  <si>
    <t>L191</t>
  </si>
  <si>
    <t>L192</t>
  </si>
  <si>
    <t>L193</t>
  </si>
  <si>
    <t>18-02-2024</t>
  </si>
  <si>
    <t>L194</t>
  </si>
  <si>
    <t>L195</t>
  </si>
  <si>
    <t>L196</t>
  </si>
  <si>
    <t>L197</t>
  </si>
  <si>
    <t>19-02-2024</t>
  </si>
  <si>
    <t>L198</t>
  </si>
  <si>
    <t>L199</t>
  </si>
  <si>
    <t>L200</t>
  </si>
  <si>
    <t>L201</t>
  </si>
  <si>
    <t>20-02-2024</t>
  </si>
  <si>
    <t>L202</t>
  </si>
  <si>
    <t>L203</t>
  </si>
  <si>
    <t>L204</t>
  </si>
  <si>
    <t>L205</t>
  </si>
  <si>
    <t>21-02-2024</t>
  </si>
  <si>
    <t>L206</t>
  </si>
  <si>
    <t>L207</t>
  </si>
  <si>
    <t>L208</t>
  </si>
  <si>
    <t>L209</t>
  </si>
  <si>
    <t>22-02-2024</t>
  </si>
  <si>
    <t>L210</t>
  </si>
  <si>
    <t>L211</t>
  </si>
  <si>
    <t>L212</t>
  </si>
  <si>
    <t>L213</t>
  </si>
  <si>
    <t>23-02-2024</t>
  </si>
  <si>
    <t>L214</t>
  </si>
  <si>
    <t>L215</t>
  </si>
  <si>
    <t>L216</t>
  </si>
  <si>
    <t>L217</t>
  </si>
  <si>
    <t>24-02-2024</t>
  </si>
  <si>
    <t>L218</t>
  </si>
  <si>
    <t>L219</t>
  </si>
  <si>
    <t>L220</t>
  </si>
  <si>
    <t>L221</t>
  </si>
  <si>
    <t>25-02-2024</t>
  </si>
  <si>
    <t>L222</t>
  </si>
  <si>
    <t>L223</t>
  </si>
  <si>
    <t>L224</t>
  </si>
  <si>
    <t>L225</t>
  </si>
  <si>
    <t>26-02-2024</t>
  </si>
  <si>
    <t>L226</t>
  </si>
  <si>
    <t>L227</t>
  </si>
  <si>
    <t>L228</t>
  </si>
  <si>
    <t>L229</t>
  </si>
  <si>
    <t>27-02-2024</t>
  </si>
  <si>
    <t>L230</t>
  </si>
  <si>
    <t>L231</t>
  </si>
  <si>
    <t>L232</t>
  </si>
  <si>
    <t>L233</t>
  </si>
  <si>
    <t>28-02-2024</t>
  </si>
  <si>
    <t>L234</t>
  </si>
  <si>
    <t>L235</t>
  </si>
  <si>
    <t>L236</t>
  </si>
  <si>
    <t>L237</t>
  </si>
  <si>
    <t>29-02-2024</t>
  </si>
  <si>
    <t>L238</t>
  </si>
  <si>
    <t>L239</t>
  </si>
  <si>
    <t>L240</t>
  </si>
  <si>
    <t>L241</t>
  </si>
  <si>
    <t>01-03-2024</t>
  </si>
  <si>
    <t>Search_Mar</t>
  </si>
  <si>
    <t>L242</t>
  </si>
  <si>
    <t>B2B_Mar</t>
  </si>
  <si>
    <t>L243</t>
  </si>
  <si>
    <t>Newsletter_Mar</t>
  </si>
  <si>
    <t>L244</t>
  </si>
  <si>
    <t>L245</t>
  </si>
  <si>
    <t>02-03-2024</t>
  </si>
  <si>
    <t>L246</t>
  </si>
  <si>
    <t>L247</t>
  </si>
  <si>
    <t>L248</t>
  </si>
  <si>
    <t>L249</t>
  </si>
  <si>
    <t>03-03-2024</t>
  </si>
  <si>
    <t>L250</t>
  </si>
  <si>
    <t>L251</t>
  </si>
  <si>
    <t>L252</t>
  </si>
  <si>
    <t>L253</t>
  </si>
  <si>
    <t>04-03-2024</t>
  </si>
  <si>
    <t>L254</t>
  </si>
  <si>
    <t>L255</t>
  </si>
  <si>
    <t>L256</t>
  </si>
  <si>
    <t>L257</t>
  </si>
  <si>
    <t>05-03-2024</t>
  </si>
  <si>
    <t>L258</t>
  </si>
  <si>
    <t>L259</t>
  </si>
  <si>
    <t>L260</t>
  </si>
  <si>
    <t>L261</t>
  </si>
  <si>
    <t>06-03-2024</t>
  </si>
  <si>
    <t>L262</t>
  </si>
  <si>
    <t>L263</t>
  </si>
  <si>
    <t>L264</t>
  </si>
  <si>
    <t>L265</t>
  </si>
  <si>
    <t>07-03-2024</t>
  </si>
  <si>
    <t>L266</t>
  </si>
  <si>
    <t>L267</t>
  </si>
  <si>
    <t>L268</t>
  </si>
  <si>
    <t>L269</t>
  </si>
  <si>
    <t>08-03-2024</t>
  </si>
  <si>
    <t>L270</t>
  </si>
  <si>
    <t>L271</t>
  </si>
  <si>
    <t>L272</t>
  </si>
  <si>
    <t>L273</t>
  </si>
  <si>
    <t>09-03-2024</t>
  </si>
  <si>
    <t>L274</t>
  </si>
  <si>
    <t>L275</t>
  </si>
  <si>
    <t>L276</t>
  </si>
  <si>
    <t>L277</t>
  </si>
  <si>
    <t>10-03-2024</t>
  </si>
  <si>
    <t>L278</t>
  </si>
  <si>
    <t>L279</t>
  </si>
  <si>
    <t>L280</t>
  </si>
  <si>
    <t>L281</t>
  </si>
  <si>
    <t>11-03-2024</t>
  </si>
  <si>
    <t>L282</t>
  </si>
  <si>
    <t>L283</t>
  </si>
  <si>
    <t>L284</t>
  </si>
  <si>
    <t>L285</t>
  </si>
  <si>
    <t>12-03-2024</t>
  </si>
  <si>
    <t>L286</t>
  </si>
  <si>
    <t>L287</t>
  </si>
  <si>
    <t>L288</t>
  </si>
  <si>
    <t>L289</t>
  </si>
  <si>
    <t>13-03-2024</t>
  </si>
  <si>
    <t>L290</t>
  </si>
  <si>
    <t>L291</t>
  </si>
  <si>
    <t>L292</t>
  </si>
  <si>
    <t>L293</t>
  </si>
  <si>
    <t>14-03-2024</t>
  </si>
  <si>
    <t>L294</t>
  </si>
  <si>
    <t>L295</t>
  </si>
  <si>
    <t>L296</t>
  </si>
  <si>
    <t>L297</t>
  </si>
  <si>
    <t>15-03-2024</t>
  </si>
  <si>
    <t>L298</t>
  </si>
  <si>
    <t>L299</t>
  </si>
  <si>
    <t>L300</t>
  </si>
  <si>
    <t>L301</t>
  </si>
  <si>
    <t>16-03-2024</t>
  </si>
  <si>
    <t>L302</t>
  </si>
  <si>
    <t>L303</t>
  </si>
  <si>
    <t>L304</t>
  </si>
  <si>
    <t>L305</t>
  </si>
  <si>
    <t>17-03-2024</t>
  </si>
  <si>
    <t>L306</t>
  </si>
  <si>
    <t>L307</t>
  </si>
  <si>
    <t>L308</t>
  </si>
  <si>
    <t>L309</t>
  </si>
  <si>
    <t>18-03-2024</t>
  </si>
  <si>
    <t>L310</t>
  </si>
  <si>
    <t>L311</t>
  </si>
  <si>
    <t>L312</t>
  </si>
  <si>
    <t>L313</t>
  </si>
  <si>
    <t>19-03-2024</t>
  </si>
  <si>
    <t>L314</t>
  </si>
  <si>
    <t>L315</t>
  </si>
  <si>
    <t>L316</t>
  </si>
  <si>
    <t>L317</t>
  </si>
  <si>
    <t>20-03-2024</t>
  </si>
  <si>
    <t>L318</t>
  </si>
  <si>
    <t>L319</t>
  </si>
  <si>
    <t>L320</t>
  </si>
  <si>
    <t>L321</t>
  </si>
  <si>
    <t>21-03-2024</t>
  </si>
  <si>
    <t>L322</t>
  </si>
  <si>
    <t>L323</t>
  </si>
  <si>
    <t>L324</t>
  </si>
  <si>
    <t>L325</t>
  </si>
  <si>
    <t>22-03-2024</t>
  </si>
  <si>
    <t>L326</t>
  </si>
  <si>
    <t>L327</t>
  </si>
  <si>
    <t>L328</t>
  </si>
  <si>
    <t>L329</t>
  </si>
  <si>
    <t>23-03-2024</t>
  </si>
  <si>
    <t>L330</t>
  </si>
  <si>
    <t>L331</t>
  </si>
  <si>
    <t>L332</t>
  </si>
  <si>
    <t>L333</t>
  </si>
  <si>
    <t>24-03-2024</t>
  </si>
  <si>
    <t>L334</t>
  </si>
  <si>
    <t>L335</t>
  </si>
  <si>
    <t>L336</t>
  </si>
  <si>
    <t>L337</t>
  </si>
  <si>
    <t>25-03-2024</t>
  </si>
  <si>
    <t>L338</t>
  </si>
  <si>
    <t>L339</t>
  </si>
  <si>
    <t>L340</t>
  </si>
  <si>
    <t>L341</t>
  </si>
  <si>
    <t>26-03-2024</t>
  </si>
  <si>
    <t>L342</t>
  </si>
  <si>
    <t>L343</t>
  </si>
  <si>
    <t>L344</t>
  </si>
  <si>
    <t>L345</t>
  </si>
  <si>
    <t>27-03-2024</t>
  </si>
  <si>
    <t>L346</t>
  </si>
  <si>
    <t>L347</t>
  </si>
  <si>
    <t>L348</t>
  </si>
  <si>
    <t>L349</t>
  </si>
  <si>
    <t>28-03-2024</t>
  </si>
  <si>
    <t>L350</t>
  </si>
  <si>
    <t>L351</t>
  </si>
  <si>
    <t>L352</t>
  </si>
  <si>
    <t>L353</t>
  </si>
  <si>
    <t>29-03-2024</t>
  </si>
  <si>
    <t>L354</t>
  </si>
  <si>
    <t>L355</t>
  </si>
  <si>
    <t>L356</t>
  </si>
  <si>
    <t>L357</t>
  </si>
  <si>
    <t>30-03-2024</t>
  </si>
  <si>
    <t>L358</t>
  </si>
  <si>
    <t>L359</t>
  </si>
  <si>
    <t>L360</t>
  </si>
  <si>
    <t>L361</t>
  </si>
  <si>
    <t>31-03-2024</t>
  </si>
  <si>
    <t>L362</t>
  </si>
  <si>
    <t>L363</t>
  </si>
  <si>
    <t>L364</t>
  </si>
  <si>
    <t>L365</t>
  </si>
  <si>
    <t>01-04-2024</t>
  </si>
  <si>
    <t>B2B_Apr</t>
  </si>
  <si>
    <t>L366</t>
  </si>
  <si>
    <t>Newsletter_Apr</t>
  </si>
  <si>
    <t>L367</t>
  </si>
  <si>
    <t>Search_Apr</t>
  </si>
  <si>
    <t>L368</t>
  </si>
  <si>
    <t>L369</t>
  </si>
  <si>
    <t>02-04-2024</t>
  </si>
  <si>
    <t>L370</t>
  </si>
  <si>
    <t>L371</t>
  </si>
  <si>
    <t>L372</t>
  </si>
  <si>
    <t>L373</t>
  </si>
  <si>
    <t>03-04-2024</t>
  </si>
  <si>
    <t>L374</t>
  </si>
  <si>
    <t>L375</t>
  </si>
  <si>
    <t>L376</t>
  </si>
  <si>
    <t>L377</t>
  </si>
  <si>
    <t>04-04-2024</t>
  </si>
  <si>
    <t>L378</t>
  </si>
  <si>
    <t>L379</t>
  </si>
  <si>
    <t>L380</t>
  </si>
  <si>
    <t>L381</t>
  </si>
  <si>
    <t>05-04-2024</t>
  </si>
  <si>
    <t>L382</t>
  </si>
  <si>
    <t>L383</t>
  </si>
  <si>
    <t>L384</t>
  </si>
  <si>
    <t>L385</t>
  </si>
  <si>
    <t>06-04-2024</t>
  </si>
  <si>
    <t>L386</t>
  </si>
  <si>
    <t>L387</t>
  </si>
  <si>
    <t>L388</t>
  </si>
  <si>
    <t>L389</t>
  </si>
  <si>
    <t>07-04-2024</t>
  </si>
  <si>
    <t>L390</t>
  </si>
  <si>
    <t>L391</t>
  </si>
  <si>
    <t>L392</t>
  </si>
  <si>
    <t>L393</t>
  </si>
  <si>
    <t>08-04-2024</t>
  </si>
  <si>
    <t>L394</t>
  </si>
  <si>
    <t>L395</t>
  </si>
  <si>
    <t>L396</t>
  </si>
  <si>
    <t>L397</t>
  </si>
  <si>
    <t>09-04-2024</t>
  </si>
  <si>
    <t>L398</t>
  </si>
  <si>
    <t>L399</t>
  </si>
  <si>
    <t>L400</t>
  </si>
  <si>
    <t>Lead _Conv_Rate</t>
  </si>
  <si>
    <t>Q_Conv_Rate</t>
  </si>
  <si>
    <t>C_Conv_Rate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</si>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</sst>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"/>
  <sheetViews>
    <sheetView tabSelected="1" workbookViewId="0">
      <selection activeCell="O3" sqref="O3"/>
    </sheetView>
  </sheetViews>
  <sheetFormatPr defaultRowHeight="14.4" x14ac:dyDescent="0.3"/>
  <cols>
    <col min="2" max="2" width="10.33203125" style="2" bestFit="1" customWidth="1"/>
    <col min="3" max="3" width="8.88671875" style="2"/>
    <col min="4" max="4" width="10.109375" customWidth="1"/>
    <col min="5" max="5" width="14.88671875" customWidth="1"/>
    <col min="6" max="6" width="12.33203125" customWidth="1"/>
    <col min="9" max="9" width="13.88671875" customWidth="1"/>
    <col min="10" max="10" width="10.109375" customWidth="1"/>
    <col min="12" max="12" width="15.33203125" style="1" bestFit="1" customWidth="1"/>
    <col min="13" max="13" width="12.33203125" style="1" customWidth="1"/>
    <col min="14" max="14" width="12" style="1" bestFit="1" customWidth="1"/>
  </cols>
  <sheetData>
    <row r="1" spans="1:14" x14ac:dyDescent="0.3">
      <c r="A1" t="s">
        <v>0</v>
      </c>
      <c r="B1" t="s">
        <v>1</v>
      </c>
      <c r="C1" t="s">
        <v>532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529</v>
      </c>
      <c r="M1" t="s">
        <v>530</v>
      </c>
      <c r="N1" t="s">
        <v>531</v>
      </c>
    </row>
    <row r="2" spans="1:14" x14ac:dyDescent="0.3">
      <c r="A2" t="s">
        <v>10</v>
      </c>
      <c r="B2" s="2" t="s">
        <v>11</v>
      </c>
      <c r="C2" s="2" t="str">
        <f>TEXT(B2,"MMM-YYYY")</f>
        <v>Jan-2024</v>
      </c>
      <c r="D2" t="s">
        <v>12</v>
      </c>
      <c r="E2" t="s">
        <v>13</v>
      </c>
      <c r="F2" t="s">
        <v>14</v>
      </c>
      <c r="G2">
        <v>1125</v>
      </c>
      <c r="H2">
        <v>309</v>
      </c>
      <c r="I2">
        <v>134</v>
      </c>
      <c r="J2">
        <v>59</v>
      </c>
      <c r="K2">
        <v>564866</v>
      </c>
      <c r="L2" s="1">
        <f>H2/G2</f>
        <v>0.27466666666666667</v>
      </c>
      <c r="M2" s="1">
        <f>I2/H2</f>
        <v>0.4336569579288026</v>
      </c>
      <c r="N2" s="1">
        <f>J2/I2</f>
        <v>0.44029850746268656</v>
      </c>
    </row>
    <row r="3" spans="1:14" x14ac:dyDescent="0.3">
      <c r="A3" t="s">
        <v>15</v>
      </c>
      <c r="B3" s="2" t="s">
        <v>11</v>
      </c>
      <c r="C3" s="2" t="str">
        <f t="shared" ref="C3:C66" si="0">TEXT(B3,"MMM-YYYY")</f>
        <v>Jan-2024</v>
      </c>
      <c r="D3" t="s">
        <v>16</v>
      </c>
      <c r="E3" t="s">
        <v>17</v>
      </c>
      <c r="F3" t="s">
        <v>18</v>
      </c>
      <c r="G3">
        <v>1407</v>
      </c>
      <c r="H3">
        <v>261</v>
      </c>
      <c r="I3">
        <v>165</v>
      </c>
      <c r="J3">
        <v>64</v>
      </c>
      <c r="K3">
        <v>697856</v>
      </c>
      <c r="L3" s="1">
        <f t="shared" ref="L3:L66" si="1">H3/G3</f>
        <v>0.18550106609808104</v>
      </c>
      <c r="M3" s="1">
        <f t="shared" ref="M3:M66" si="2">I3/H3</f>
        <v>0.63218390804597702</v>
      </c>
      <c r="N3" s="1">
        <f t="shared" ref="N3:N66" si="3">J3/I3</f>
        <v>0.38787878787878788</v>
      </c>
    </row>
    <row r="4" spans="1:14" x14ac:dyDescent="0.3">
      <c r="A4" t="s">
        <v>19</v>
      </c>
      <c r="B4" s="2" t="s">
        <v>11</v>
      </c>
      <c r="C4" s="2" t="str">
        <f t="shared" si="0"/>
        <v>Jan-2024</v>
      </c>
      <c r="D4" t="s">
        <v>20</v>
      </c>
      <c r="E4" t="s">
        <v>21</v>
      </c>
      <c r="F4" t="s">
        <v>22</v>
      </c>
      <c r="G4">
        <v>765</v>
      </c>
      <c r="H4">
        <v>120</v>
      </c>
      <c r="I4">
        <v>85</v>
      </c>
      <c r="J4">
        <v>31</v>
      </c>
      <c r="K4">
        <v>261330</v>
      </c>
      <c r="L4" s="1">
        <f t="shared" si="1"/>
        <v>0.15686274509803921</v>
      </c>
      <c r="M4" s="1">
        <f t="shared" si="2"/>
        <v>0.70833333333333337</v>
      </c>
      <c r="N4" s="1">
        <f t="shared" si="3"/>
        <v>0.36470588235294116</v>
      </c>
    </row>
    <row r="5" spans="1:14" x14ac:dyDescent="0.3">
      <c r="A5" t="s">
        <v>23</v>
      </c>
      <c r="B5" s="2" t="s">
        <v>11</v>
      </c>
      <c r="C5" s="2" t="str">
        <f t="shared" si="0"/>
        <v>Jan-2024</v>
      </c>
      <c r="D5" t="s">
        <v>12</v>
      </c>
      <c r="E5" t="s">
        <v>13</v>
      </c>
      <c r="F5" t="s">
        <v>24</v>
      </c>
      <c r="G5">
        <v>1877</v>
      </c>
      <c r="H5">
        <v>532</v>
      </c>
      <c r="I5">
        <v>235</v>
      </c>
      <c r="J5">
        <v>111</v>
      </c>
      <c r="K5">
        <v>1411254</v>
      </c>
      <c r="L5" s="1">
        <f t="shared" si="1"/>
        <v>0.28343100692594564</v>
      </c>
      <c r="M5" s="1">
        <f t="shared" si="2"/>
        <v>0.44172932330827069</v>
      </c>
      <c r="N5" s="1">
        <f t="shared" si="3"/>
        <v>0.47234042553191491</v>
      </c>
    </row>
    <row r="6" spans="1:14" x14ac:dyDescent="0.3">
      <c r="A6" t="s">
        <v>25</v>
      </c>
      <c r="B6" s="2" t="s">
        <v>26</v>
      </c>
      <c r="C6" s="2" t="str">
        <f t="shared" si="0"/>
        <v>Jan-2024</v>
      </c>
      <c r="D6" t="s">
        <v>16</v>
      </c>
      <c r="E6" t="s">
        <v>17</v>
      </c>
      <c r="F6" t="s">
        <v>14</v>
      </c>
      <c r="G6">
        <v>1541</v>
      </c>
      <c r="H6">
        <v>375</v>
      </c>
      <c r="I6">
        <v>257</v>
      </c>
      <c r="J6">
        <v>110</v>
      </c>
      <c r="K6">
        <v>742830</v>
      </c>
      <c r="L6" s="1">
        <f t="shared" si="1"/>
        <v>0.24334847501622323</v>
      </c>
      <c r="M6" s="1">
        <f t="shared" si="2"/>
        <v>0.68533333333333335</v>
      </c>
      <c r="N6" s="1">
        <f t="shared" si="3"/>
        <v>0.42801556420233461</v>
      </c>
    </row>
    <row r="7" spans="1:14" x14ac:dyDescent="0.3">
      <c r="A7" t="s">
        <v>27</v>
      </c>
      <c r="B7" s="2" t="s">
        <v>26</v>
      </c>
      <c r="C7" s="2" t="str">
        <f t="shared" si="0"/>
        <v>Jan-2024</v>
      </c>
      <c r="D7" t="s">
        <v>20</v>
      </c>
      <c r="E7" t="s">
        <v>21</v>
      </c>
      <c r="F7" t="s">
        <v>18</v>
      </c>
      <c r="G7">
        <v>951</v>
      </c>
      <c r="H7">
        <v>275</v>
      </c>
      <c r="I7">
        <v>211</v>
      </c>
      <c r="J7">
        <v>73</v>
      </c>
      <c r="K7">
        <v>369015</v>
      </c>
      <c r="L7" s="1">
        <f t="shared" si="1"/>
        <v>0.28916929547844372</v>
      </c>
      <c r="M7" s="1">
        <f t="shared" si="2"/>
        <v>0.76727272727272722</v>
      </c>
      <c r="N7" s="1">
        <f t="shared" si="3"/>
        <v>0.34597156398104267</v>
      </c>
    </row>
    <row r="8" spans="1:14" x14ac:dyDescent="0.3">
      <c r="A8" t="s">
        <v>28</v>
      </c>
      <c r="B8" s="2" t="s">
        <v>26</v>
      </c>
      <c r="C8" s="2" t="str">
        <f t="shared" si="0"/>
        <v>Jan-2024</v>
      </c>
      <c r="D8" t="s">
        <v>12</v>
      </c>
      <c r="E8" t="s">
        <v>13</v>
      </c>
      <c r="F8" t="s">
        <v>22</v>
      </c>
      <c r="G8">
        <v>1861</v>
      </c>
      <c r="H8">
        <v>189</v>
      </c>
      <c r="I8">
        <v>120</v>
      </c>
      <c r="J8">
        <v>56</v>
      </c>
      <c r="K8">
        <v>799904</v>
      </c>
      <c r="L8" s="1">
        <f t="shared" si="1"/>
        <v>0.1015583019881784</v>
      </c>
      <c r="M8" s="1">
        <f t="shared" si="2"/>
        <v>0.63492063492063489</v>
      </c>
      <c r="N8" s="1">
        <f t="shared" si="3"/>
        <v>0.46666666666666667</v>
      </c>
    </row>
    <row r="9" spans="1:14" x14ac:dyDescent="0.3">
      <c r="A9" t="s">
        <v>29</v>
      </c>
      <c r="B9" s="2" t="s">
        <v>26</v>
      </c>
      <c r="C9" s="2" t="str">
        <f t="shared" si="0"/>
        <v>Jan-2024</v>
      </c>
      <c r="D9" t="s">
        <v>16</v>
      </c>
      <c r="E9" t="s">
        <v>17</v>
      </c>
      <c r="F9" t="s">
        <v>24</v>
      </c>
      <c r="G9">
        <v>1861</v>
      </c>
      <c r="H9">
        <v>410</v>
      </c>
      <c r="I9">
        <v>306</v>
      </c>
      <c r="J9">
        <v>124</v>
      </c>
      <c r="K9">
        <v>1685408</v>
      </c>
      <c r="L9" s="1">
        <f t="shared" si="1"/>
        <v>0.22031166039763567</v>
      </c>
      <c r="M9" s="1">
        <f t="shared" si="2"/>
        <v>0.74634146341463414</v>
      </c>
      <c r="N9" s="1">
        <f t="shared" si="3"/>
        <v>0.40522875816993464</v>
      </c>
    </row>
    <row r="10" spans="1:14" x14ac:dyDescent="0.3">
      <c r="A10" t="s">
        <v>30</v>
      </c>
      <c r="B10" s="2" t="s">
        <v>31</v>
      </c>
      <c r="C10" s="2" t="str">
        <f t="shared" si="0"/>
        <v>Jan-2024</v>
      </c>
      <c r="D10" t="s">
        <v>20</v>
      </c>
      <c r="E10" t="s">
        <v>21</v>
      </c>
      <c r="F10" t="s">
        <v>14</v>
      </c>
      <c r="G10">
        <v>737</v>
      </c>
      <c r="H10">
        <v>173</v>
      </c>
      <c r="I10">
        <v>90</v>
      </c>
      <c r="J10">
        <v>29</v>
      </c>
      <c r="K10">
        <v>355975</v>
      </c>
      <c r="L10" s="1">
        <f t="shared" si="1"/>
        <v>0.23473541383989144</v>
      </c>
      <c r="M10" s="1">
        <f t="shared" si="2"/>
        <v>0.52023121387283233</v>
      </c>
      <c r="N10" s="1">
        <f t="shared" si="3"/>
        <v>0.32222222222222224</v>
      </c>
    </row>
    <row r="11" spans="1:14" x14ac:dyDescent="0.3">
      <c r="A11" t="s">
        <v>32</v>
      </c>
      <c r="B11" s="2" t="s">
        <v>31</v>
      </c>
      <c r="C11" s="2" t="str">
        <f t="shared" si="0"/>
        <v>Jan-2024</v>
      </c>
      <c r="D11" t="s">
        <v>12</v>
      </c>
      <c r="E11" t="s">
        <v>13</v>
      </c>
      <c r="F11" t="s">
        <v>18</v>
      </c>
      <c r="G11">
        <v>1079</v>
      </c>
      <c r="H11">
        <v>204</v>
      </c>
      <c r="I11">
        <v>119</v>
      </c>
      <c r="J11">
        <v>48</v>
      </c>
      <c r="K11">
        <v>421968</v>
      </c>
      <c r="L11" s="1">
        <f t="shared" si="1"/>
        <v>0.18906394810009267</v>
      </c>
      <c r="M11" s="1">
        <f t="shared" si="2"/>
        <v>0.58333333333333337</v>
      </c>
      <c r="N11" s="1">
        <f t="shared" si="3"/>
        <v>0.40336134453781514</v>
      </c>
    </row>
    <row r="12" spans="1:14" x14ac:dyDescent="0.3">
      <c r="A12" t="s">
        <v>33</v>
      </c>
      <c r="B12" s="2" t="s">
        <v>31</v>
      </c>
      <c r="C12" s="2" t="str">
        <f t="shared" si="0"/>
        <v>Jan-2024</v>
      </c>
      <c r="D12" t="s">
        <v>16</v>
      </c>
      <c r="E12" t="s">
        <v>17</v>
      </c>
      <c r="F12" t="s">
        <v>22</v>
      </c>
      <c r="G12">
        <v>1014</v>
      </c>
      <c r="H12">
        <v>179</v>
      </c>
      <c r="I12">
        <v>136</v>
      </c>
      <c r="J12">
        <v>65</v>
      </c>
      <c r="K12">
        <v>482625</v>
      </c>
      <c r="L12" s="1">
        <f t="shared" si="1"/>
        <v>0.1765285996055227</v>
      </c>
      <c r="M12" s="1">
        <f t="shared" si="2"/>
        <v>0.75977653631284914</v>
      </c>
      <c r="N12" s="1">
        <f t="shared" si="3"/>
        <v>0.47794117647058826</v>
      </c>
    </row>
    <row r="13" spans="1:14" x14ac:dyDescent="0.3">
      <c r="A13" t="s">
        <v>34</v>
      </c>
      <c r="B13" s="2" t="s">
        <v>31</v>
      </c>
      <c r="C13" s="2" t="str">
        <f t="shared" si="0"/>
        <v>Jan-2024</v>
      </c>
      <c r="D13" t="s">
        <v>20</v>
      </c>
      <c r="E13" t="s">
        <v>21</v>
      </c>
      <c r="F13" t="s">
        <v>24</v>
      </c>
      <c r="G13">
        <v>1314</v>
      </c>
      <c r="H13">
        <v>151</v>
      </c>
      <c r="I13">
        <v>112</v>
      </c>
      <c r="J13">
        <v>53</v>
      </c>
      <c r="K13">
        <v>749897</v>
      </c>
      <c r="L13" s="1">
        <f t="shared" si="1"/>
        <v>0.11491628614916286</v>
      </c>
      <c r="M13" s="1">
        <f t="shared" si="2"/>
        <v>0.74172185430463577</v>
      </c>
      <c r="N13" s="1">
        <f t="shared" si="3"/>
        <v>0.4732142857142857</v>
      </c>
    </row>
    <row r="14" spans="1:14" x14ac:dyDescent="0.3">
      <c r="A14" t="s">
        <v>35</v>
      </c>
      <c r="B14" s="2" t="s">
        <v>36</v>
      </c>
      <c r="C14" s="2" t="str">
        <f t="shared" si="0"/>
        <v>Jan-2024</v>
      </c>
      <c r="D14" t="s">
        <v>12</v>
      </c>
      <c r="E14" t="s">
        <v>13</v>
      </c>
      <c r="F14" t="s">
        <v>14</v>
      </c>
      <c r="G14">
        <v>1379</v>
      </c>
      <c r="H14">
        <v>191</v>
      </c>
      <c r="I14">
        <v>118</v>
      </c>
      <c r="J14">
        <v>41</v>
      </c>
      <c r="K14">
        <v>263958</v>
      </c>
      <c r="L14" s="1">
        <f t="shared" si="1"/>
        <v>0.13850616388687453</v>
      </c>
      <c r="M14" s="1">
        <f t="shared" si="2"/>
        <v>0.61780104712041883</v>
      </c>
      <c r="N14" s="1">
        <f t="shared" si="3"/>
        <v>0.34745762711864409</v>
      </c>
    </row>
    <row r="15" spans="1:14" x14ac:dyDescent="0.3">
      <c r="A15" t="s">
        <v>37</v>
      </c>
      <c r="B15" s="2" t="s">
        <v>36</v>
      </c>
      <c r="C15" s="2" t="str">
        <f t="shared" si="0"/>
        <v>Jan-2024</v>
      </c>
      <c r="D15" t="s">
        <v>16</v>
      </c>
      <c r="E15" t="s">
        <v>17</v>
      </c>
      <c r="F15" t="s">
        <v>18</v>
      </c>
      <c r="G15">
        <v>1076</v>
      </c>
      <c r="H15">
        <v>289</v>
      </c>
      <c r="I15">
        <v>211</v>
      </c>
      <c r="J15">
        <v>84</v>
      </c>
      <c r="K15">
        <v>966504</v>
      </c>
      <c r="L15" s="1">
        <f t="shared" si="1"/>
        <v>0.26858736059479554</v>
      </c>
      <c r="M15" s="1">
        <f t="shared" si="2"/>
        <v>0.73010380622837368</v>
      </c>
      <c r="N15" s="1">
        <f t="shared" si="3"/>
        <v>0.3981042654028436</v>
      </c>
    </row>
    <row r="16" spans="1:14" x14ac:dyDescent="0.3">
      <c r="A16" t="s">
        <v>38</v>
      </c>
      <c r="B16" s="2" t="s">
        <v>36</v>
      </c>
      <c r="C16" s="2" t="str">
        <f t="shared" si="0"/>
        <v>Jan-2024</v>
      </c>
      <c r="D16" t="s">
        <v>20</v>
      </c>
      <c r="E16" t="s">
        <v>21</v>
      </c>
      <c r="F16" t="s">
        <v>22</v>
      </c>
      <c r="G16">
        <v>1811</v>
      </c>
      <c r="H16">
        <v>531</v>
      </c>
      <c r="I16">
        <v>311</v>
      </c>
      <c r="J16">
        <v>93</v>
      </c>
      <c r="K16">
        <v>952227</v>
      </c>
      <c r="L16" s="1">
        <f t="shared" si="1"/>
        <v>0.29320817228050799</v>
      </c>
      <c r="M16" s="1">
        <f t="shared" si="2"/>
        <v>0.5856873822975518</v>
      </c>
      <c r="N16" s="1">
        <f t="shared" si="3"/>
        <v>0.29903536977491962</v>
      </c>
    </row>
    <row r="17" spans="1:14" x14ac:dyDescent="0.3">
      <c r="A17" t="s">
        <v>39</v>
      </c>
      <c r="B17" s="2" t="s">
        <v>36</v>
      </c>
      <c r="C17" s="2" t="str">
        <f t="shared" si="0"/>
        <v>Jan-2024</v>
      </c>
      <c r="D17" t="s">
        <v>12</v>
      </c>
      <c r="E17" t="s">
        <v>13</v>
      </c>
      <c r="F17" t="s">
        <v>24</v>
      </c>
      <c r="G17">
        <v>1089</v>
      </c>
      <c r="H17">
        <v>250</v>
      </c>
      <c r="I17">
        <v>102</v>
      </c>
      <c r="J17">
        <v>43</v>
      </c>
      <c r="K17">
        <v>215000</v>
      </c>
      <c r="L17" s="1">
        <f t="shared" si="1"/>
        <v>0.2295684113865932</v>
      </c>
      <c r="M17" s="1">
        <f t="shared" si="2"/>
        <v>0.40799999999999997</v>
      </c>
      <c r="N17" s="1">
        <f t="shared" si="3"/>
        <v>0.42156862745098039</v>
      </c>
    </row>
    <row r="18" spans="1:14" x14ac:dyDescent="0.3">
      <c r="A18" t="s">
        <v>40</v>
      </c>
      <c r="B18" s="2" t="s">
        <v>41</v>
      </c>
      <c r="C18" s="2" t="str">
        <f t="shared" si="0"/>
        <v>Jan-2024</v>
      </c>
      <c r="D18" t="s">
        <v>16</v>
      </c>
      <c r="E18" t="s">
        <v>17</v>
      </c>
      <c r="F18" t="s">
        <v>14</v>
      </c>
      <c r="G18">
        <v>1050</v>
      </c>
      <c r="H18">
        <v>180</v>
      </c>
      <c r="I18">
        <v>101</v>
      </c>
      <c r="J18">
        <v>46</v>
      </c>
      <c r="K18">
        <v>305532</v>
      </c>
      <c r="L18" s="1">
        <f t="shared" si="1"/>
        <v>0.17142857142857143</v>
      </c>
      <c r="M18" s="1">
        <f t="shared" si="2"/>
        <v>0.56111111111111112</v>
      </c>
      <c r="N18" s="1">
        <f t="shared" si="3"/>
        <v>0.45544554455445546</v>
      </c>
    </row>
    <row r="19" spans="1:14" x14ac:dyDescent="0.3">
      <c r="A19" t="s">
        <v>42</v>
      </c>
      <c r="B19" s="2" t="s">
        <v>41</v>
      </c>
      <c r="C19" s="2" t="str">
        <f t="shared" si="0"/>
        <v>Jan-2024</v>
      </c>
      <c r="D19" t="s">
        <v>20</v>
      </c>
      <c r="E19" t="s">
        <v>21</v>
      </c>
      <c r="F19" t="s">
        <v>18</v>
      </c>
      <c r="G19">
        <v>615</v>
      </c>
      <c r="H19">
        <v>73</v>
      </c>
      <c r="I19">
        <v>57</v>
      </c>
      <c r="J19">
        <v>15</v>
      </c>
      <c r="K19">
        <v>111930</v>
      </c>
      <c r="L19" s="1">
        <f t="shared" si="1"/>
        <v>0.11869918699186992</v>
      </c>
      <c r="M19" s="1">
        <f t="shared" si="2"/>
        <v>0.78082191780821919</v>
      </c>
      <c r="N19" s="1">
        <f t="shared" si="3"/>
        <v>0.26315789473684209</v>
      </c>
    </row>
    <row r="20" spans="1:14" x14ac:dyDescent="0.3">
      <c r="A20" t="s">
        <v>43</v>
      </c>
      <c r="B20" s="2" t="s">
        <v>41</v>
      </c>
      <c r="C20" s="2" t="str">
        <f t="shared" si="0"/>
        <v>Jan-2024</v>
      </c>
      <c r="D20" t="s">
        <v>12</v>
      </c>
      <c r="E20" t="s">
        <v>13</v>
      </c>
      <c r="F20" t="s">
        <v>22</v>
      </c>
      <c r="G20">
        <v>1345</v>
      </c>
      <c r="H20">
        <v>273</v>
      </c>
      <c r="I20">
        <v>188</v>
      </c>
      <c r="J20">
        <v>92</v>
      </c>
      <c r="K20">
        <v>1007768</v>
      </c>
      <c r="L20" s="1">
        <f t="shared" si="1"/>
        <v>0.20297397769516728</v>
      </c>
      <c r="M20" s="1">
        <f t="shared" si="2"/>
        <v>0.68864468864468864</v>
      </c>
      <c r="N20" s="1">
        <f t="shared" si="3"/>
        <v>0.48936170212765956</v>
      </c>
    </row>
    <row r="21" spans="1:14" x14ac:dyDescent="0.3">
      <c r="A21" t="s">
        <v>44</v>
      </c>
      <c r="B21" s="2" t="s">
        <v>41</v>
      </c>
      <c r="C21" s="2" t="str">
        <f t="shared" si="0"/>
        <v>Jan-2024</v>
      </c>
      <c r="D21" t="s">
        <v>16</v>
      </c>
      <c r="E21" t="s">
        <v>17</v>
      </c>
      <c r="F21" t="s">
        <v>24</v>
      </c>
      <c r="G21">
        <v>989</v>
      </c>
      <c r="H21">
        <v>205</v>
      </c>
      <c r="I21">
        <v>144</v>
      </c>
      <c r="J21">
        <v>30</v>
      </c>
      <c r="K21">
        <v>413490</v>
      </c>
      <c r="L21" s="1">
        <f t="shared" si="1"/>
        <v>0.20728008088978767</v>
      </c>
      <c r="M21" s="1">
        <f t="shared" si="2"/>
        <v>0.70243902439024386</v>
      </c>
      <c r="N21" s="1">
        <f t="shared" si="3"/>
        <v>0.20833333333333334</v>
      </c>
    </row>
    <row r="22" spans="1:14" x14ac:dyDescent="0.3">
      <c r="A22" t="s">
        <v>45</v>
      </c>
      <c r="B22" s="2" t="s">
        <v>46</v>
      </c>
      <c r="C22" s="2" t="str">
        <f t="shared" si="0"/>
        <v>Jan-2024</v>
      </c>
      <c r="D22" t="s">
        <v>20</v>
      </c>
      <c r="E22" t="s">
        <v>21</v>
      </c>
      <c r="F22" t="s">
        <v>14</v>
      </c>
      <c r="G22">
        <v>1986</v>
      </c>
      <c r="H22">
        <v>497</v>
      </c>
      <c r="I22">
        <v>236</v>
      </c>
      <c r="J22">
        <v>83</v>
      </c>
      <c r="K22">
        <v>821285</v>
      </c>
      <c r="L22" s="1">
        <f t="shared" si="1"/>
        <v>0.25025176233635449</v>
      </c>
      <c r="M22" s="1">
        <f t="shared" si="2"/>
        <v>0.47484909456740443</v>
      </c>
      <c r="N22" s="1">
        <f t="shared" si="3"/>
        <v>0.35169491525423729</v>
      </c>
    </row>
    <row r="23" spans="1:14" x14ac:dyDescent="0.3">
      <c r="A23" t="s">
        <v>47</v>
      </c>
      <c r="B23" s="2" t="s">
        <v>46</v>
      </c>
      <c r="C23" s="2" t="str">
        <f t="shared" si="0"/>
        <v>Jan-2024</v>
      </c>
      <c r="D23" t="s">
        <v>12</v>
      </c>
      <c r="E23" t="s">
        <v>13</v>
      </c>
      <c r="F23" t="s">
        <v>18</v>
      </c>
      <c r="G23">
        <v>1971</v>
      </c>
      <c r="H23">
        <v>522</v>
      </c>
      <c r="I23">
        <v>293</v>
      </c>
      <c r="J23">
        <v>90</v>
      </c>
      <c r="K23">
        <v>479880</v>
      </c>
      <c r="L23" s="1">
        <f t="shared" si="1"/>
        <v>0.26484018264840181</v>
      </c>
      <c r="M23" s="1">
        <f t="shared" si="2"/>
        <v>0.56130268199233713</v>
      </c>
      <c r="N23" s="1">
        <f t="shared" si="3"/>
        <v>0.30716723549488056</v>
      </c>
    </row>
    <row r="24" spans="1:14" x14ac:dyDescent="0.3">
      <c r="A24" t="s">
        <v>48</v>
      </c>
      <c r="B24" s="2" t="s">
        <v>46</v>
      </c>
      <c r="C24" s="2" t="str">
        <f t="shared" si="0"/>
        <v>Jan-2024</v>
      </c>
      <c r="D24" t="s">
        <v>16</v>
      </c>
      <c r="E24" t="s">
        <v>17</v>
      </c>
      <c r="F24" t="s">
        <v>22</v>
      </c>
      <c r="G24">
        <v>1225</v>
      </c>
      <c r="H24">
        <v>173</v>
      </c>
      <c r="I24">
        <v>97</v>
      </c>
      <c r="J24">
        <v>36</v>
      </c>
      <c r="K24">
        <v>448596</v>
      </c>
      <c r="L24" s="1">
        <f t="shared" si="1"/>
        <v>0.14122448979591837</v>
      </c>
      <c r="M24" s="1">
        <f t="shared" si="2"/>
        <v>0.56069364161849711</v>
      </c>
      <c r="N24" s="1">
        <f t="shared" si="3"/>
        <v>0.37113402061855671</v>
      </c>
    </row>
    <row r="25" spans="1:14" x14ac:dyDescent="0.3">
      <c r="A25" t="s">
        <v>49</v>
      </c>
      <c r="B25" s="2" t="s">
        <v>46</v>
      </c>
      <c r="C25" s="2" t="str">
        <f t="shared" si="0"/>
        <v>Jan-2024</v>
      </c>
      <c r="D25" t="s">
        <v>20</v>
      </c>
      <c r="E25" t="s">
        <v>21</v>
      </c>
      <c r="F25" t="s">
        <v>24</v>
      </c>
      <c r="G25">
        <v>783</v>
      </c>
      <c r="H25">
        <v>182</v>
      </c>
      <c r="I25">
        <v>98</v>
      </c>
      <c r="J25">
        <v>37</v>
      </c>
      <c r="K25">
        <v>492581</v>
      </c>
      <c r="L25" s="1">
        <f t="shared" si="1"/>
        <v>0.23243933588761176</v>
      </c>
      <c r="M25" s="1">
        <f t="shared" si="2"/>
        <v>0.53846153846153844</v>
      </c>
      <c r="N25" s="1">
        <f t="shared" si="3"/>
        <v>0.37755102040816324</v>
      </c>
    </row>
    <row r="26" spans="1:14" x14ac:dyDescent="0.3">
      <c r="A26" t="s">
        <v>50</v>
      </c>
      <c r="B26" s="2" t="s">
        <v>51</v>
      </c>
      <c r="C26" s="2" t="str">
        <f t="shared" si="0"/>
        <v>Jan-2024</v>
      </c>
      <c r="D26" t="s">
        <v>12</v>
      </c>
      <c r="E26" t="s">
        <v>13</v>
      </c>
      <c r="F26" t="s">
        <v>14</v>
      </c>
      <c r="G26">
        <v>1023</v>
      </c>
      <c r="H26">
        <v>164</v>
      </c>
      <c r="I26">
        <v>115</v>
      </c>
      <c r="J26">
        <v>52</v>
      </c>
      <c r="K26">
        <v>230516</v>
      </c>
      <c r="L26" s="1">
        <f t="shared" si="1"/>
        <v>0.16031280547409579</v>
      </c>
      <c r="M26" s="1">
        <f t="shared" si="2"/>
        <v>0.70121951219512191</v>
      </c>
      <c r="N26" s="1">
        <f t="shared" si="3"/>
        <v>0.45217391304347826</v>
      </c>
    </row>
    <row r="27" spans="1:14" x14ac:dyDescent="0.3">
      <c r="A27" t="s">
        <v>52</v>
      </c>
      <c r="B27" s="2" t="s">
        <v>51</v>
      </c>
      <c r="C27" s="2" t="str">
        <f t="shared" si="0"/>
        <v>Jan-2024</v>
      </c>
      <c r="D27" t="s">
        <v>16</v>
      </c>
      <c r="E27" t="s">
        <v>17</v>
      </c>
      <c r="F27" t="s">
        <v>18</v>
      </c>
      <c r="G27">
        <v>1804</v>
      </c>
      <c r="H27">
        <v>391</v>
      </c>
      <c r="I27">
        <v>244</v>
      </c>
      <c r="J27">
        <v>115</v>
      </c>
      <c r="K27">
        <v>713345</v>
      </c>
      <c r="L27" s="1">
        <f t="shared" si="1"/>
        <v>0.21674057649667405</v>
      </c>
      <c r="M27" s="1">
        <f t="shared" si="2"/>
        <v>0.6240409207161125</v>
      </c>
      <c r="N27" s="1">
        <f t="shared" si="3"/>
        <v>0.47131147540983609</v>
      </c>
    </row>
    <row r="28" spans="1:14" x14ac:dyDescent="0.3">
      <c r="A28" t="s">
        <v>53</v>
      </c>
      <c r="B28" s="2" t="s">
        <v>51</v>
      </c>
      <c r="C28" s="2" t="str">
        <f t="shared" si="0"/>
        <v>Jan-2024</v>
      </c>
      <c r="D28" t="s">
        <v>20</v>
      </c>
      <c r="E28" t="s">
        <v>21</v>
      </c>
      <c r="F28" t="s">
        <v>22</v>
      </c>
      <c r="G28">
        <v>788</v>
      </c>
      <c r="H28">
        <v>146</v>
      </c>
      <c r="I28">
        <v>110</v>
      </c>
      <c r="J28">
        <v>33</v>
      </c>
      <c r="K28">
        <v>168069</v>
      </c>
      <c r="L28" s="1">
        <f t="shared" si="1"/>
        <v>0.18527918781725888</v>
      </c>
      <c r="M28" s="1">
        <f t="shared" si="2"/>
        <v>0.75342465753424659</v>
      </c>
      <c r="N28" s="1">
        <f t="shared" si="3"/>
        <v>0.3</v>
      </c>
    </row>
    <row r="29" spans="1:14" x14ac:dyDescent="0.3">
      <c r="A29" t="s">
        <v>54</v>
      </c>
      <c r="B29" s="2" t="s">
        <v>51</v>
      </c>
      <c r="C29" s="2" t="str">
        <f t="shared" si="0"/>
        <v>Jan-2024</v>
      </c>
      <c r="D29" t="s">
        <v>12</v>
      </c>
      <c r="E29" t="s">
        <v>13</v>
      </c>
      <c r="F29" t="s">
        <v>24</v>
      </c>
      <c r="G29">
        <v>1220</v>
      </c>
      <c r="H29">
        <v>132</v>
      </c>
      <c r="I29">
        <v>102</v>
      </c>
      <c r="J29">
        <v>44</v>
      </c>
      <c r="K29">
        <v>505120</v>
      </c>
      <c r="L29" s="1">
        <f t="shared" si="1"/>
        <v>0.10819672131147541</v>
      </c>
      <c r="M29" s="1">
        <f t="shared" si="2"/>
        <v>0.77272727272727271</v>
      </c>
      <c r="N29" s="1">
        <f t="shared" si="3"/>
        <v>0.43137254901960786</v>
      </c>
    </row>
    <row r="30" spans="1:14" x14ac:dyDescent="0.3">
      <c r="A30" t="s">
        <v>55</v>
      </c>
      <c r="B30" s="2" t="s">
        <v>56</v>
      </c>
      <c r="C30" s="2" t="str">
        <f t="shared" si="0"/>
        <v>Jan-2024</v>
      </c>
      <c r="D30" t="s">
        <v>16</v>
      </c>
      <c r="E30" t="s">
        <v>17</v>
      </c>
      <c r="F30" t="s">
        <v>14</v>
      </c>
      <c r="G30">
        <v>1810</v>
      </c>
      <c r="H30">
        <v>294</v>
      </c>
      <c r="I30">
        <v>205</v>
      </c>
      <c r="J30">
        <v>101</v>
      </c>
      <c r="K30">
        <v>905162</v>
      </c>
      <c r="L30" s="1">
        <f t="shared" si="1"/>
        <v>0.16243093922651933</v>
      </c>
      <c r="M30" s="1">
        <f t="shared" si="2"/>
        <v>0.69727891156462585</v>
      </c>
      <c r="N30" s="1">
        <f t="shared" si="3"/>
        <v>0.49268292682926829</v>
      </c>
    </row>
    <row r="31" spans="1:14" x14ac:dyDescent="0.3">
      <c r="A31" t="s">
        <v>57</v>
      </c>
      <c r="B31" s="2" t="s">
        <v>56</v>
      </c>
      <c r="C31" s="2" t="str">
        <f t="shared" si="0"/>
        <v>Jan-2024</v>
      </c>
      <c r="D31" t="s">
        <v>20</v>
      </c>
      <c r="E31" t="s">
        <v>21</v>
      </c>
      <c r="F31" t="s">
        <v>18</v>
      </c>
      <c r="G31">
        <v>1777</v>
      </c>
      <c r="H31">
        <v>324</v>
      </c>
      <c r="I31">
        <v>218</v>
      </c>
      <c r="J31">
        <v>98</v>
      </c>
      <c r="K31">
        <v>1310456</v>
      </c>
      <c r="L31" s="1">
        <f t="shared" si="1"/>
        <v>0.18232976927405739</v>
      </c>
      <c r="M31" s="1">
        <f t="shared" si="2"/>
        <v>0.6728395061728395</v>
      </c>
      <c r="N31" s="1">
        <f t="shared" si="3"/>
        <v>0.44954128440366975</v>
      </c>
    </row>
    <row r="32" spans="1:14" x14ac:dyDescent="0.3">
      <c r="A32" t="s">
        <v>58</v>
      </c>
      <c r="B32" s="2" t="s">
        <v>56</v>
      </c>
      <c r="C32" s="2" t="str">
        <f t="shared" si="0"/>
        <v>Jan-2024</v>
      </c>
      <c r="D32" t="s">
        <v>12</v>
      </c>
      <c r="E32" t="s">
        <v>13</v>
      </c>
      <c r="F32" t="s">
        <v>22</v>
      </c>
      <c r="G32">
        <v>720</v>
      </c>
      <c r="H32">
        <v>87</v>
      </c>
      <c r="I32">
        <v>51</v>
      </c>
      <c r="J32">
        <v>16</v>
      </c>
      <c r="K32">
        <v>197232</v>
      </c>
      <c r="L32" s="1">
        <f t="shared" si="1"/>
        <v>0.12083333333333333</v>
      </c>
      <c r="M32" s="1">
        <f t="shared" si="2"/>
        <v>0.58620689655172409</v>
      </c>
      <c r="N32" s="1">
        <f t="shared" si="3"/>
        <v>0.31372549019607843</v>
      </c>
    </row>
    <row r="33" spans="1:14" x14ac:dyDescent="0.3">
      <c r="A33" t="s">
        <v>59</v>
      </c>
      <c r="B33" s="2" t="s">
        <v>56</v>
      </c>
      <c r="C33" s="2" t="str">
        <f t="shared" si="0"/>
        <v>Jan-2024</v>
      </c>
      <c r="D33" t="s">
        <v>16</v>
      </c>
      <c r="E33" t="s">
        <v>17</v>
      </c>
      <c r="F33" t="s">
        <v>24</v>
      </c>
      <c r="G33">
        <v>1643</v>
      </c>
      <c r="H33">
        <v>164</v>
      </c>
      <c r="I33">
        <v>119</v>
      </c>
      <c r="J33">
        <v>26</v>
      </c>
      <c r="K33">
        <v>216034</v>
      </c>
      <c r="L33" s="1">
        <f t="shared" si="1"/>
        <v>9.9817407181984175E-2</v>
      </c>
      <c r="M33" s="1">
        <f t="shared" si="2"/>
        <v>0.72560975609756095</v>
      </c>
      <c r="N33" s="1">
        <f t="shared" si="3"/>
        <v>0.21848739495798319</v>
      </c>
    </row>
    <row r="34" spans="1:14" x14ac:dyDescent="0.3">
      <c r="A34" t="s">
        <v>60</v>
      </c>
      <c r="B34" s="2" t="s">
        <v>61</v>
      </c>
      <c r="C34" s="2" t="str">
        <f t="shared" si="0"/>
        <v>Jan-2024</v>
      </c>
      <c r="D34" t="s">
        <v>20</v>
      </c>
      <c r="E34" t="s">
        <v>21</v>
      </c>
      <c r="F34" t="s">
        <v>14</v>
      </c>
      <c r="G34">
        <v>1633</v>
      </c>
      <c r="H34">
        <v>343</v>
      </c>
      <c r="I34">
        <v>234</v>
      </c>
      <c r="J34">
        <v>55</v>
      </c>
      <c r="K34">
        <v>618365</v>
      </c>
      <c r="L34" s="1">
        <f t="shared" si="1"/>
        <v>0.21004286589099816</v>
      </c>
      <c r="M34" s="1">
        <f t="shared" si="2"/>
        <v>0.68221574344023328</v>
      </c>
      <c r="N34" s="1">
        <f t="shared" si="3"/>
        <v>0.23504273504273504</v>
      </c>
    </row>
    <row r="35" spans="1:14" x14ac:dyDescent="0.3">
      <c r="A35" t="s">
        <v>62</v>
      </c>
      <c r="B35" s="2" t="s">
        <v>61</v>
      </c>
      <c r="C35" s="2" t="str">
        <f t="shared" si="0"/>
        <v>Jan-2024</v>
      </c>
      <c r="D35" t="s">
        <v>12</v>
      </c>
      <c r="E35" t="s">
        <v>13</v>
      </c>
      <c r="F35" t="s">
        <v>18</v>
      </c>
      <c r="G35">
        <v>1404</v>
      </c>
      <c r="H35">
        <v>412</v>
      </c>
      <c r="I35">
        <v>257</v>
      </c>
      <c r="J35">
        <v>82</v>
      </c>
      <c r="K35">
        <v>1203924</v>
      </c>
      <c r="L35" s="1">
        <f t="shared" si="1"/>
        <v>0.29344729344729342</v>
      </c>
      <c r="M35" s="1">
        <f t="shared" si="2"/>
        <v>0.62378640776699024</v>
      </c>
      <c r="N35" s="1">
        <f t="shared" si="3"/>
        <v>0.31906614785992216</v>
      </c>
    </row>
    <row r="36" spans="1:14" x14ac:dyDescent="0.3">
      <c r="A36" t="s">
        <v>63</v>
      </c>
      <c r="B36" s="2" t="s">
        <v>61</v>
      </c>
      <c r="C36" s="2" t="str">
        <f t="shared" si="0"/>
        <v>Jan-2024</v>
      </c>
      <c r="D36" t="s">
        <v>16</v>
      </c>
      <c r="E36" t="s">
        <v>17</v>
      </c>
      <c r="F36" t="s">
        <v>22</v>
      </c>
      <c r="G36">
        <v>1653</v>
      </c>
      <c r="H36">
        <v>309</v>
      </c>
      <c r="I36">
        <v>198</v>
      </c>
      <c r="J36">
        <v>63</v>
      </c>
      <c r="K36">
        <v>737352</v>
      </c>
      <c r="L36" s="1">
        <f t="shared" si="1"/>
        <v>0.18693284936479129</v>
      </c>
      <c r="M36" s="1">
        <f t="shared" si="2"/>
        <v>0.64077669902912626</v>
      </c>
      <c r="N36" s="1">
        <f t="shared" si="3"/>
        <v>0.31818181818181818</v>
      </c>
    </row>
    <row r="37" spans="1:14" x14ac:dyDescent="0.3">
      <c r="A37" t="s">
        <v>64</v>
      </c>
      <c r="B37" s="2" t="s">
        <v>61</v>
      </c>
      <c r="C37" s="2" t="str">
        <f t="shared" si="0"/>
        <v>Jan-2024</v>
      </c>
      <c r="D37" t="s">
        <v>20</v>
      </c>
      <c r="E37" t="s">
        <v>21</v>
      </c>
      <c r="F37" t="s">
        <v>24</v>
      </c>
      <c r="G37">
        <v>1627</v>
      </c>
      <c r="H37">
        <v>453</v>
      </c>
      <c r="I37">
        <v>228</v>
      </c>
      <c r="J37">
        <v>92</v>
      </c>
      <c r="K37">
        <v>412344</v>
      </c>
      <c r="L37" s="1">
        <f t="shared" si="1"/>
        <v>0.27842655193607868</v>
      </c>
      <c r="M37" s="1">
        <f t="shared" si="2"/>
        <v>0.50331125827814571</v>
      </c>
      <c r="N37" s="1">
        <f t="shared" si="3"/>
        <v>0.40350877192982454</v>
      </c>
    </row>
    <row r="38" spans="1:14" x14ac:dyDescent="0.3">
      <c r="A38" t="s">
        <v>65</v>
      </c>
      <c r="B38" s="2" t="s">
        <v>66</v>
      </c>
      <c r="C38" s="2" t="str">
        <f t="shared" si="0"/>
        <v>Jan-2024</v>
      </c>
      <c r="D38" t="s">
        <v>12</v>
      </c>
      <c r="E38" t="s">
        <v>13</v>
      </c>
      <c r="F38" t="s">
        <v>14</v>
      </c>
      <c r="G38">
        <v>1474</v>
      </c>
      <c r="H38">
        <v>312</v>
      </c>
      <c r="I38">
        <v>227</v>
      </c>
      <c r="J38">
        <v>81</v>
      </c>
      <c r="K38">
        <v>1128978</v>
      </c>
      <c r="L38" s="1">
        <f t="shared" si="1"/>
        <v>0.21166892808683854</v>
      </c>
      <c r="M38" s="1">
        <f t="shared" si="2"/>
        <v>0.72756410256410253</v>
      </c>
      <c r="N38" s="1">
        <f t="shared" si="3"/>
        <v>0.35682819383259912</v>
      </c>
    </row>
    <row r="39" spans="1:14" x14ac:dyDescent="0.3">
      <c r="A39" t="s">
        <v>67</v>
      </c>
      <c r="B39" s="2" t="s">
        <v>66</v>
      </c>
      <c r="C39" s="2" t="str">
        <f t="shared" si="0"/>
        <v>Jan-2024</v>
      </c>
      <c r="D39" t="s">
        <v>16</v>
      </c>
      <c r="E39" t="s">
        <v>17</v>
      </c>
      <c r="F39" t="s">
        <v>18</v>
      </c>
      <c r="G39">
        <v>1460</v>
      </c>
      <c r="H39">
        <v>224</v>
      </c>
      <c r="I39">
        <v>117</v>
      </c>
      <c r="J39">
        <v>55</v>
      </c>
      <c r="K39">
        <v>373450</v>
      </c>
      <c r="L39" s="1">
        <f t="shared" si="1"/>
        <v>0.15342465753424658</v>
      </c>
      <c r="M39" s="1">
        <f t="shared" si="2"/>
        <v>0.5223214285714286</v>
      </c>
      <c r="N39" s="1">
        <f t="shared" si="3"/>
        <v>0.47008547008547008</v>
      </c>
    </row>
    <row r="40" spans="1:14" x14ac:dyDescent="0.3">
      <c r="A40" t="s">
        <v>68</v>
      </c>
      <c r="B40" s="2" t="s">
        <v>66</v>
      </c>
      <c r="C40" s="2" t="str">
        <f t="shared" si="0"/>
        <v>Jan-2024</v>
      </c>
      <c r="D40" t="s">
        <v>20</v>
      </c>
      <c r="E40" t="s">
        <v>21</v>
      </c>
      <c r="F40" t="s">
        <v>22</v>
      </c>
      <c r="G40">
        <v>1897</v>
      </c>
      <c r="H40">
        <v>457</v>
      </c>
      <c r="I40">
        <v>226</v>
      </c>
      <c r="J40">
        <v>85</v>
      </c>
      <c r="K40">
        <v>1267010</v>
      </c>
      <c r="L40" s="1">
        <f t="shared" si="1"/>
        <v>0.24090669478123353</v>
      </c>
      <c r="M40" s="1">
        <f t="shared" si="2"/>
        <v>0.49452954048140046</v>
      </c>
      <c r="N40" s="1">
        <f t="shared" si="3"/>
        <v>0.37610619469026546</v>
      </c>
    </row>
    <row r="41" spans="1:14" x14ac:dyDescent="0.3">
      <c r="A41" t="s">
        <v>69</v>
      </c>
      <c r="B41" s="2" t="s">
        <v>66</v>
      </c>
      <c r="C41" s="2" t="str">
        <f t="shared" si="0"/>
        <v>Jan-2024</v>
      </c>
      <c r="D41" t="s">
        <v>12</v>
      </c>
      <c r="E41" t="s">
        <v>13</v>
      </c>
      <c r="F41" t="s">
        <v>24</v>
      </c>
      <c r="G41">
        <v>1751</v>
      </c>
      <c r="H41">
        <v>258</v>
      </c>
      <c r="I41">
        <v>140</v>
      </c>
      <c r="J41">
        <v>33</v>
      </c>
      <c r="K41">
        <v>327294</v>
      </c>
      <c r="L41" s="1">
        <f t="shared" si="1"/>
        <v>0.1473443746430611</v>
      </c>
      <c r="M41" s="1">
        <f t="shared" si="2"/>
        <v>0.54263565891472865</v>
      </c>
      <c r="N41" s="1">
        <f t="shared" si="3"/>
        <v>0.23571428571428571</v>
      </c>
    </row>
    <row r="42" spans="1:14" x14ac:dyDescent="0.3">
      <c r="A42" t="s">
        <v>70</v>
      </c>
      <c r="B42" s="2" t="s">
        <v>71</v>
      </c>
      <c r="C42" s="2" t="str">
        <f t="shared" si="0"/>
        <v>Jan-2024</v>
      </c>
      <c r="D42" t="s">
        <v>16</v>
      </c>
      <c r="E42" t="s">
        <v>17</v>
      </c>
      <c r="F42" t="s">
        <v>14</v>
      </c>
      <c r="G42">
        <v>1631</v>
      </c>
      <c r="H42">
        <v>307</v>
      </c>
      <c r="I42">
        <v>175</v>
      </c>
      <c r="J42">
        <v>36</v>
      </c>
      <c r="K42">
        <v>480744</v>
      </c>
      <c r="L42" s="1">
        <f t="shared" si="1"/>
        <v>0.1882280809319436</v>
      </c>
      <c r="M42" s="1">
        <f t="shared" si="2"/>
        <v>0.57003257328990231</v>
      </c>
      <c r="N42" s="1">
        <f t="shared" si="3"/>
        <v>0.20571428571428571</v>
      </c>
    </row>
    <row r="43" spans="1:14" x14ac:dyDescent="0.3">
      <c r="A43" t="s">
        <v>72</v>
      </c>
      <c r="B43" s="2" t="s">
        <v>71</v>
      </c>
      <c r="C43" s="2" t="str">
        <f t="shared" si="0"/>
        <v>Jan-2024</v>
      </c>
      <c r="D43" t="s">
        <v>20</v>
      </c>
      <c r="E43" t="s">
        <v>21</v>
      </c>
      <c r="F43" t="s">
        <v>18</v>
      </c>
      <c r="G43">
        <v>1992</v>
      </c>
      <c r="H43">
        <v>470</v>
      </c>
      <c r="I43">
        <v>369</v>
      </c>
      <c r="J43">
        <v>141</v>
      </c>
      <c r="K43">
        <v>1731762</v>
      </c>
      <c r="L43" s="1">
        <f t="shared" si="1"/>
        <v>0.2359437751004016</v>
      </c>
      <c r="M43" s="1">
        <f t="shared" si="2"/>
        <v>0.78510638297872337</v>
      </c>
      <c r="N43" s="1">
        <f t="shared" si="3"/>
        <v>0.38211382113821141</v>
      </c>
    </row>
    <row r="44" spans="1:14" x14ac:dyDescent="0.3">
      <c r="A44" t="s">
        <v>73</v>
      </c>
      <c r="B44" s="2" t="s">
        <v>71</v>
      </c>
      <c r="C44" s="2" t="str">
        <f t="shared" si="0"/>
        <v>Jan-2024</v>
      </c>
      <c r="D44" t="s">
        <v>12</v>
      </c>
      <c r="E44" t="s">
        <v>13</v>
      </c>
      <c r="F44" t="s">
        <v>22</v>
      </c>
      <c r="G44">
        <v>835</v>
      </c>
      <c r="H44">
        <v>101</v>
      </c>
      <c r="I44">
        <v>66</v>
      </c>
      <c r="J44">
        <v>28</v>
      </c>
      <c r="K44">
        <v>368032</v>
      </c>
      <c r="L44" s="1">
        <f t="shared" si="1"/>
        <v>0.12095808383233533</v>
      </c>
      <c r="M44" s="1">
        <f t="shared" si="2"/>
        <v>0.65346534653465349</v>
      </c>
      <c r="N44" s="1">
        <f t="shared" si="3"/>
        <v>0.42424242424242425</v>
      </c>
    </row>
    <row r="45" spans="1:14" x14ac:dyDescent="0.3">
      <c r="A45" t="s">
        <v>74</v>
      </c>
      <c r="B45" s="2" t="s">
        <v>71</v>
      </c>
      <c r="C45" s="2" t="str">
        <f t="shared" si="0"/>
        <v>Jan-2024</v>
      </c>
      <c r="D45" t="s">
        <v>16</v>
      </c>
      <c r="E45" t="s">
        <v>17</v>
      </c>
      <c r="F45" t="s">
        <v>24</v>
      </c>
      <c r="G45">
        <v>1877</v>
      </c>
      <c r="H45">
        <v>309</v>
      </c>
      <c r="I45">
        <v>123</v>
      </c>
      <c r="J45">
        <v>59</v>
      </c>
      <c r="K45">
        <v>603570</v>
      </c>
      <c r="L45" s="1">
        <f t="shared" si="1"/>
        <v>0.16462440063931805</v>
      </c>
      <c r="M45" s="1">
        <f t="shared" si="2"/>
        <v>0.39805825242718446</v>
      </c>
      <c r="N45" s="1">
        <f t="shared" si="3"/>
        <v>0.47967479674796748</v>
      </c>
    </row>
    <row r="46" spans="1:14" x14ac:dyDescent="0.3">
      <c r="A46" t="s">
        <v>75</v>
      </c>
      <c r="B46" s="2" t="s">
        <v>76</v>
      </c>
      <c r="C46" s="2" t="str">
        <f t="shared" si="0"/>
        <v>Jan-2024</v>
      </c>
      <c r="D46" t="s">
        <v>20</v>
      </c>
      <c r="E46" t="s">
        <v>21</v>
      </c>
      <c r="F46" t="s">
        <v>14</v>
      </c>
      <c r="G46">
        <v>1831</v>
      </c>
      <c r="H46">
        <v>418</v>
      </c>
      <c r="I46">
        <v>326</v>
      </c>
      <c r="J46">
        <v>128</v>
      </c>
      <c r="K46">
        <v>771712</v>
      </c>
      <c r="L46" s="1">
        <f t="shared" si="1"/>
        <v>0.22829055161114145</v>
      </c>
      <c r="M46" s="1">
        <f t="shared" si="2"/>
        <v>0.77990430622009566</v>
      </c>
      <c r="N46" s="1">
        <f t="shared" si="3"/>
        <v>0.39263803680981596</v>
      </c>
    </row>
    <row r="47" spans="1:14" x14ac:dyDescent="0.3">
      <c r="A47" t="s">
        <v>77</v>
      </c>
      <c r="B47" s="2" t="s">
        <v>76</v>
      </c>
      <c r="C47" s="2" t="str">
        <f t="shared" si="0"/>
        <v>Jan-2024</v>
      </c>
      <c r="D47" t="s">
        <v>12</v>
      </c>
      <c r="E47" t="s">
        <v>13</v>
      </c>
      <c r="F47" t="s">
        <v>18</v>
      </c>
      <c r="G47">
        <v>555</v>
      </c>
      <c r="H47">
        <v>122</v>
      </c>
      <c r="I47">
        <v>86</v>
      </c>
      <c r="J47">
        <v>22</v>
      </c>
      <c r="K47">
        <v>113520</v>
      </c>
      <c r="L47" s="1">
        <f t="shared" si="1"/>
        <v>0.21981981981981982</v>
      </c>
      <c r="M47" s="1">
        <f t="shared" si="2"/>
        <v>0.70491803278688525</v>
      </c>
      <c r="N47" s="1">
        <f t="shared" si="3"/>
        <v>0.2558139534883721</v>
      </c>
    </row>
    <row r="48" spans="1:14" x14ac:dyDescent="0.3">
      <c r="A48" t="s">
        <v>78</v>
      </c>
      <c r="B48" s="2" t="s">
        <v>76</v>
      </c>
      <c r="C48" s="2" t="str">
        <f t="shared" si="0"/>
        <v>Jan-2024</v>
      </c>
      <c r="D48" t="s">
        <v>16</v>
      </c>
      <c r="E48" t="s">
        <v>17</v>
      </c>
      <c r="F48" t="s">
        <v>22</v>
      </c>
      <c r="G48">
        <v>1610</v>
      </c>
      <c r="H48">
        <v>392</v>
      </c>
      <c r="I48">
        <v>209</v>
      </c>
      <c r="J48">
        <v>65</v>
      </c>
      <c r="K48">
        <v>281840</v>
      </c>
      <c r="L48" s="1">
        <f t="shared" si="1"/>
        <v>0.24347826086956523</v>
      </c>
      <c r="M48" s="1">
        <f t="shared" si="2"/>
        <v>0.53316326530612246</v>
      </c>
      <c r="N48" s="1">
        <f t="shared" si="3"/>
        <v>0.31100478468899523</v>
      </c>
    </row>
    <row r="49" spans="1:14" x14ac:dyDescent="0.3">
      <c r="A49" t="s">
        <v>79</v>
      </c>
      <c r="B49" s="2" t="s">
        <v>76</v>
      </c>
      <c r="C49" s="2" t="str">
        <f t="shared" si="0"/>
        <v>Jan-2024</v>
      </c>
      <c r="D49" t="s">
        <v>20</v>
      </c>
      <c r="E49" t="s">
        <v>21</v>
      </c>
      <c r="F49" t="s">
        <v>24</v>
      </c>
      <c r="G49">
        <v>1476</v>
      </c>
      <c r="H49">
        <v>311</v>
      </c>
      <c r="I49">
        <v>239</v>
      </c>
      <c r="J49">
        <v>88</v>
      </c>
      <c r="K49">
        <v>986656</v>
      </c>
      <c r="L49" s="1">
        <f t="shared" si="1"/>
        <v>0.21070460704607047</v>
      </c>
      <c r="M49" s="1">
        <f t="shared" si="2"/>
        <v>0.76848874598070738</v>
      </c>
      <c r="N49" s="1">
        <f t="shared" si="3"/>
        <v>0.3682008368200837</v>
      </c>
    </row>
    <row r="50" spans="1:14" x14ac:dyDescent="0.3">
      <c r="A50" t="s">
        <v>80</v>
      </c>
      <c r="B50" s="2" t="s">
        <v>81</v>
      </c>
      <c r="C50" s="2" t="str">
        <f t="shared" si="0"/>
        <v>Jan-2024</v>
      </c>
      <c r="D50" t="s">
        <v>12</v>
      </c>
      <c r="E50" t="s">
        <v>13</v>
      </c>
      <c r="F50" t="s">
        <v>14</v>
      </c>
      <c r="G50">
        <v>891</v>
      </c>
      <c r="H50">
        <v>194</v>
      </c>
      <c r="I50">
        <v>81</v>
      </c>
      <c r="J50">
        <v>16</v>
      </c>
      <c r="K50">
        <v>80592</v>
      </c>
      <c r="L50" s="1">
        <f t="shared" si="1"/>
        <v>0.21773288439955107</v>
      </c>
      <c r="M50" s="1">
        <f t="shared" si="2"/>
        <v>0.4175257731958763</v>
      </c>
      <c r="N50" s="1">
        <f t="shared" si="3"/>
        <v>0.19753086419753085</v>
      </c>
    </row>
    <row r="51" spans="1:14" x14ac:dyDescent="0.3">
      <c r="A51" t="s">
        <v>82</v>
      </c>
      <c r="B51" s="2" t="s">
        <v>81</v>
      </c>
      <c r="C51" s="2" t="str">
        <f t="shared" si="0"/>
        <v>Jan-2024</v>
      </c>
      <c r="D51" t="s">
        <v>16</v>
      </c>
      <c r="E51" t="s">
        <v>17</v>
      </c>
      <c r="F51" t="s">
        <v>18</v>
      </c>
      <c r="G51">
        <v>1661</v>
      </c>
      <c r="H51">
        <v>374</v>
      </c>
      <c r="I51">
        <v>258</v>
      </c>
      <c r="J51">
        <v>54</v>
      </c>
      <c r="K51">
        <v>340038</v>
      </c>
      <c r="L51" s="1">
        <f t="shared" si="1"/>
        <v>0.2251655629139073</v>
      </c>
      <c r="M51" s="1">
        <f t="shared" si="2"/>
        <v>0.68983957219251335</v>
      </c>
      <c r="N51" s="1">
        <f t="shared" si="3"/>
        <v>0.20930232558139536</v>
      </c>
    </row>
    <row r="52" spans="1:14" x14ac:dyDescent="0.3">
      <c r="A52" t="s">
        <v>83</v>
      </c>
      <c r="B52" s="2" t="s">
        <v>81</v>
      </c>
      <c r="C52" s="2" t="str">
        <f t="shared" si="0"/>
        <v>Jan-2024</v>
      </c>
      <c r="D52" t="s">
        <v>20</v>
      </c>
      <c r="E52" t="s">
        <v>21</v>
      </c>
      <c r="F52" t="s">
        <v>22</v>
      </c>
      <c r="G52">
        <v>1105</v>
      </c>
      <c r="H52">
        <v>262</v>
      </c>
      <c r="I52">
        <v>151</v>
      </c>
      <c r="J52">
        <v>63</v>
      </c>
      <c r="K52">
        <v>695583</v>
      </c>
      <c r="L52" s="1">
        <f t="shared" si="1"/>
        <v>0.23710407239819004</v>
      </c>
      <c r="M52" s="1">
        <f t="shared" si="2"/>
        <v>0.57633587786259544</v>
      </c>
      <c r="N52" s="1">
        <f t="shared" si="3"/>
        <v>0.41721854304635764</v>
      </c>
    </row>
    <row r="53" spans="1:14" x14ac:dyDescent="0.3">
      <c r="A53" t="s">
        <v>84</v>
      </c>
      <c r="B53" s="2" t="s">
        <v>81</v>
      </c>
      <c r="C53" s="2" t="str">
        <f t="shared" si="0"/>
        <v>Jan-2024</v>
      </c>
      <c r="D53" t="s">
        <v>12</v>
      </c>
      <c r="E53" t="s">
        <v>13</v>
      </c>
      <c r="F53" t="s">
        <v>24</v>
      </c>
      <c r="G53">
        <v>1252</v>
      </c>
      <c r="H53">
        <v>135</v>
      </c>
      <c r="I53">
        <v>56</v>
      </c>
      <c r="J53">
        <v>19</v>
      </c>
      <c r="K53">
        <v>129295</v>
      </c>
      <c r="L53" s="1">
        <f t="shared" si="1"/>
        <v>0.10782747603833866</v>
      </c>
      <c r="M53" s="1">
        <f t="shared" si="2"/>
        <v>0.4148148148148148</v>
      </c>
      <c r="N53" s="1">
        <f t="shared" si="3"/>
        <v>0.3392857142857143</v>
      </c>
    </row>
    <row r="54" spans="1:14" x14ac:dyDescent="0.3">
      <c r="A54" t="s">
        <v>85</v>
      </c>
      <c r="B54" s="2" t="s">
        <v>86</v>
      </c>
      <c r="C54" s="2" t="str">
        <f t="shared" si="0"/>
        <v>Jan-2024</v>
      </c>
      <c r="D54" t="s">
        <v>16</v>
      </c>
      <c r="E54" t="s">
        <v>17</v>
      </c>
      <c r="F54" t="s">
        <v>14</v>
      </c>
      <c r="G54">
        <v>1766</v>
      </c>
      <c r="H54">
        <v>412</v>
      </c>
      <c r="I54">
        <v>289</v>
      </c>
      <c r="J54">
        <v>137</v>
      </c>
      <c r="K54">
        <v>1967868</v>
      </c>
      <c r="L54" s="1">
        <f t="shared" si="1"/>
        <v>0.2332955832389581</v>
      </c>
      <c r="M54" s="1">
        <f t="shared" si="2"/>
        <v>0.70145631067961167</v>
      </c>
      <c r="N54" s="1">
        <f t="shared" si="3"/>
        <v>0.47404844290657439</v>
      </c>
    </row>
    <row r="55" spans="1:14" x14ac:dyDescent="0.3">
      <c r="A55" t="s">
        <v>87</v>
      </c>
      <c r="B55" s="2" t="s">
        <v>86</v>
      </c>
      <c r="C55" s="2" t="str">
        <f t="shared" si="0"/>
        <v>Jan-2024</v>
      </c>
      <c r="D55" t="s">
        <v>20</v>
      </c>
      <c r="E55" t="s">
        <v>21</v>
      </c>
      <c r="F55" t="s">
        <v>18</v>
      </c>
      <c r="G55">
        <v>1486</v>
      </c>
      <c r="H55">
        <v>245</v>
      </c>
      <c r="I55">
        <v>120</v>
      </c>
      <c r="J55">
        <v>41</v>
      </c>
      <c r="K55">
        <v>457683</v>
      </c>
      <c r="L55" s="1">
        <f t="shared" si="1"/>
        <v>0.16487213997308209</v>
      </c>
      <c r="M55" s="1">
        <f t="shared" si="2"/>
        <v>0.48979591836734693</v>
      </c>
      <c r="N55" s="1">
        <f t="shared" si="3"/>
        <v>0.34166666666666667</v>
      </c>
    </row>
    <row r="56" spans="1:14" x14ac:dyDescent="0.3">
      <c r="A56" t="s">
        <v>88</v>
      </c>
      <c r="B56" s="2" t="s">
        <v>86</v>
      </c>
      <c r="C56" s="2" t="str">
        <f t="shared" si="0"/>
        <v>Jan-2024</v>
      </c>
      <c r="D56" t="s">
        <v>12</v>
      </c>
      <c r="E56" t="s">
        <v>13</v>
      </c>
      <c r="F56" t="s">
        <v>22</v>
      </c>
      <c r="G56">
        <v>653</v>
      </c>
      <c r="H56">
        <v>104</v>
      </c>
      <c r="I56">
        <v>72</v>
      </c>
      <c r="J56">
        <v>29</v>
      </c>
      <c r="K56">
        <v>148683</v>
      </c>
      <c r="L56" s="1">
        <f t="shared" si="1"/>
        <v>0.15926493108728942</v>
      </c>
      <c r="M56" s="1">
        <f t="shared" si="2"/>
        <v>0.69230769230769229</v>
      </c>
      <c r="N56" s="1">
        <f t="shared" si="3"/>
        <v>0.40277777777777779</v>
      </c>
    </row>
    <row r="57" spans="1:14" x14ac:dyDescent="0.3">
      <c r="A57" t="s">
        <v>89</v>
      </c>
      <c r="B57" s="2" t="s">
        <v>86</v>
      </c>
      <c r="C57" s="2" t="str">
        <f t="shared" si="0"/>
        <v>Jan-2024</v>
      </c>
      <c r="D57" t="s">
        <v>16</v>
      </c>
      <c r="E57" t="s">
        <v>17</v>
      </c>
      <c r="F57" t="s">
        <v>24</v>
      </c>
      <c r="G57">
        <v>802</v>
      </c>
      <c r="H57">
        <v>136</v>
      </c>
      <c r="I57">
        <v>91</v>
      </c>
      <c r="J57">
        <v>32</v>
      </c>
      <c r="K57">
        <v>285568</v>
      </c>
      <c r="L57" s="1">
        <f t="shared" si="1"/>
        <v>0.16957605985037408</v>
      </c>
      <c r="M57" s="1">
        <f t="shared" si="2"/>
        <v>0.66911764705882348</v>
      </c>
      <c r="N57" s="1">
        <f t="shared" si="3"/>
        <v>0.35164835164835168</v>
      </c>
    </row>
    <row r="58" spans="1:14" x14ac:dyDescent="0.3">
      <c r="A58" t="s">
        <v>90</v>
      </c>
      <c r="B58" s="2" t="s">
        <v>91</v>
      </c>
      <c r="C58" s="2" t="str">
        <f t="shared" si="0"/>
        <v>Jan-2024</v>
      </c>
      <c r="D58" t="s">
        <v>20</v>
      </c>
      <c r="E58" t="s">
        <v>21</v>
      </c>
      <c r="F58" t="s">
        <v>14</v>
      </c>
      <c r="G58">
        <v>1742</v>
      </c>
      <c r="H58">
        <v>243</v>
      </c>
      <c r="I58">
        <v>106</v>
      </c>
      <c r="J58">
        <v>27</v>
      </c>
      <c r="K58">
        <v>227367</v>
      </c>
      <c r="L58" s="1">
        <f t="shared" si="1"/>
        <v>0.13949483352468428</v>
      </c>
      <c r="M58" s="1">
        <f t="shared" si="2"/>
        <v>0.43621399176954734</v>
      </c>
      <c r="N58" s="1">
        <f t="shared" si="3"/>
        <v>0.25471698113207547</v>
      </c>
    </row>
    <row r="59" spans="1:14" x14ac:dyDescent="0.3">
      <c r="A59" t="s">
        <v>92</v>
      </c>
      <c r="B59" s="2" t="s">
        <v>91</v>
      </c>
      <c r="C59" s="2" t="str">
        <f t="shared" si="0"/>
        <v>Jan-2024</v>
      </c>
      <c r="D59" t="s">
        <v>12</v>
      </c>
      <c r="E59" t="s">
        <v>13</v>
      </c>
      <c r="F59" t="s">
        <v>18</v>
      </c>
      <c r="G59">
        <v>1389</v>
      </c>
      <c r="H59">
        <v>194</v>
      </c>
      <c r="I59">
        <v>117</v>
      </c>
      <c r="J59">
        <v>51</v>
      </c>
      <c r="K59">
        <v>733023</v>
      </c>
      <c r="L59" s="1">
        <f t="shared" si="1"/>
        <v>0.13966882649388049</v>
      </c>
      <c r="M59" s="1">
        <f t="shared" si="2"/>
        <v>0.60309278350515461</v>
      </c>
      <c r="N59" s="1">
        <f t="shared" si="3"/>
        <v>0.4358974358974359</v>
      </c>
    </row>
    <row r="60" spans="1:14" x14ac:dyDescent="0.3">
      <c r="A60" t="s">
        <v>93</v>
      </c>
      <c r="B60" s="2" t="s">
        <v>91</v>
      </c>
      <c r="C60" s="2" t="str">
        <f t="shared" si="0"/>
        <v>Jan-2024</v>
      </c>
      <c r="D60" t="s">
        <v>16</v>
      </c>
      <c r="E60" t="s">
        <v>17</v>
      </c>
      <c r="F60" t="s">
        <v>22</v>
      </c>
      <c r="G60">
        <v>1998</v>
      </c>
      <c r="H60">
        <v>547</v>
      </c>
      <c r="I60">
        <v>354</v>
      </c>
      <c r="J60">
        <v>101</v>
      </c>
      <c r="K60">
        <v>703162</v>
      </c>
      <c r="L60" s="1">
        <f t="shared" si="1"/>
        <v>0.27377377377377377</v>
      </c>
      <c r="M60" s="1">
        <f t="shared" si="2"/>
        <v>0.6471663619744058</v>
      </c>
      <c r="N60" s="1">
        <f t="shared" si="3"/>
        <v>0.28531073446327682</v>
      </c>
    </row>
    <row r="61" spans="1:14" x14ac:dyDescent="0.3">
      <c r="A61" t="s">
        <v>94</v>
      </c>
      <c r="B61" s="2" t="s">
        <v>91</v>
      </c>
      <c r="C61" s="2" t="str">
        <f t="shared" si="0"/>
        <v>Jan-2024</v>
      </c>
      <c r="D61" t="s">
        <v>20</v>
      </c>
      <c r="E61" t="s">
        <v>21</v>
      </c>
      <c r="F61" t="s">
        <v>24</v>
      </c>
      <c r="G61">
        <v>758</v>
      </c>
      <c r="H61">
        <v>156</v>
      </c>
      <c r="I61">
        <v>115</v>
      </c>
      <c r="J61">
        <v>31</v>
      </c>
      <c r="K61">
        <v>423615</v>
      </c>
      <c r="L61" s="1">
        <f t="shared" si="1"/>
        <v>0.20580474934036938</v>
      </c>
      <c r="M61" s="1">
        <f t="shared" si="2"/>
        <v>0.73717948717948723</v>
      </c>
      <c r="N61" s="1">
        <f t="shared" si="3"/>
        <v>0.26956521739130435</v>
      </c>
    </row>
    <row r="62" spans="1:14" x14ac:dyDescent="0.3">
      <c r="A62" t="s">
        <v>95</v>
      </c>
      <c r="B62" s="2" t="s">
        <v>96</v>
      </c>
      <c r="C62" s="2" t="str">
        <f t="shared" si="0"/>
        <v>Jan-2024</v>
      </c>
      <c r="D62" t="s">
        <v>12</v>
      </c>
      <c r="E62" t="s">
        <v>13</v>
      </c>
      <c r="F62" t="s">
        <v>14</v>
      </c>
      <c r="G62">
        <v>999</v>
      </c>
      <c r="H62">
        <v>112</v>
      </c>
      <c r="I62">
        <v>79</v>
      </c>
      <c r="J62">
        <v>26</v>
      </c>
      <c r="K62">
        <v>388700</v>
      </c>
      <c r="L62" s="1">
        <f t="shared" si="1"/>
        <v>0.11211211211211211</v>
      </c>
      <c r="M62" s="1">
        <f t="shared" si="2"/>
        <v>0.7053571428571429</v>
      </c>
      <c r="N62" s="1">
        <f t="shared" si="3"/>
        <v>0.32911392405063289</v>
      </c>
    </row>
    <row r="63" spans="1:14" x14ac:dyDescent="0.3">
      <c r="A63" t="s">
        <v>97</v>
      </c>
      <c r="B63" s="2" t="s">
        <v>96</v>
      </c>
      <c r="C63" s="2" t="str">
        <f t="shared" si="0"/>
        <v>Jan-2024</v>
      </c>
      <c r="D63" t="s">
        <v>16</v>
      </c>
      <c r="E63" t="s">
        <v>17</v>
      </c>
      <c r="F63" t="s">
        <v>18</v>
      </c>
      <c r="G63">
        <v>1000</v>
      </c>
      <c r="H63">
        <v>219</v>
      </c>
      <c r="I63">
        <v>153</v>
      </c>
      <c r="J63">
        <v>73</v>
      </c>
      <c r="K63">
        <v>830229</v>
      </c>
      <c r="L63" s="1">
        <f t="shared" si="1"/>
        <v>0.219</v>
      </c>
      <c r="M63" s="1">
        <f t="shared" si="2"/>
        <v>0.69863013698630139</v>
      </c>
      <c r="N63" s="1">
        <f t="shared" si="3"/>
        <v>0.47712418300653597</v>
      </c>
    </row>
    <row r="64" spans="1:14" x14ac:dyDescent="0.3">
      <c r="A64" t="s">
        <v>98</v>
      </c>
      <c r="B64" s="2" t="s">
        <v>96</v>
      </c>
      <c r="C64" s="2" t="str">
        <f t="shared" si="0"/>
        <v>Jan-2024</v>
      </c>
      <c r="D64" t="s">
        <v>20</v>
      </c>
      <c r="E64" t="s">
        <v>21</v>
      </c>
      <c r="F64" t="s">
        <v>22</v>
      </c>
      <c r="G64">
        <v>647</v>
      </c>
      <c r="H64">
        <v>139</v>
      </c>
      <c r="I64">
        <v>108</v>
      </c>
      <c r="J64">
        <v>36</v>
      </c>
      <c r="K64">
        <v>401760</v>
      </c>
      <c r="L64" s="1">
        <f t="shared" si="1"/>
        <v>0.21483771251931993</v>
      </c>
      <c r="M64" s="1">
        <f t="shared" si="2"/>
        <v>0.7769784172661871</v>
      </c>
      <c r="N64" s="1">
        <f t="shared" si="3"/>
        <v>0.33333333333333331</v>
      </c>
    </row>
    <row r="65" spans="1:14" x14ac:dyDescent="0.3">
      <c r="A65" t="s">
        <v>99</v>
      </c>
      <c r="B65" s="2" t="s">
        <v>96</v>
      </c>
      <c r="C65" s="2" t="str">
        <f t="shared" si="0"/>
        <v>Jan-2024</v>
      </c>
      <c r="D65" t="s">
        <v>12</v>
      </c>
      <c r="E65" t="s">
        <v>13</v>
      </c>
      <c r="F65" t="s">
        <v>24</v>
      </c>
      <c r="G65">
        <v>778</v>
      </c>
      <c r="H65">
        <v>176</v>
      </c>
      <c r="I65">
        <v>94</v>
      </c>
      <c r="J65">
        <v>34</v>
      </c>
      <c r="K65">
        <v>136816</v>
      </c>
      <c r="L65" s="1">
        <f t="shared" si="1"/>
        <v>0.2262210796915167</v>
      </c>
      <c r="M65" s="1">
        <f t="shared" si="2"/>
        <v>0.53409090909090906</v>
      </c>
      <c r="N65" s="1">
        <f t="shared" si="3"/>
        <v>0.36170212765957449</v>
      </c>
    </row>
    <row r="66" spans="1:14" x14ac:dyDescent="0.3">
      <c r="A66" t="s">
        <v>100</v>
      </c>
      <c r="B66" s="2" t="s">
        <v>101</v>
      </c>
      <c r="C66" s="2" t="str">
        <f t="shared" si="0"/>
        <v>Jan-2024</v>
      </c>
      <c r="D66" t="s">
        <v>16</v>
      </c>
      <c r="E66" t="s">
        <v>17</v>
      </c>
      <c r="F66" t="s">
        <v>14</v>
      </c>
      <c r="G66">
        <v>1852</v>
      </c>
      <c r="H66">
        <v>236</v>
      </c>
      <c r="I66">
        <v>185</v>
      </c>
      <c r="J66">
        <v>61</v>
      </c>
      <c r="K66">
        <v>280417</v>
      </c>
      <c r="L66" s="1">
        <f t="shared" si="1"/>
        <v>0.12742980561555076</v>
      </c>
      <c r="M66" s="1">
        <f t="shared" si="2"/>
        <v>0.78389830508474578</v>
      </c>
      <c r="N66" s="1">
        <f t="shared" si="3"/>
        <v>0.32972972972972975</v>
      </c>
    </row>
    <row r="67" spans="1:14" x14ac:dyDescent="0.3">
      <c r="A67" t="s">
        <v>102</v>
      </c>
      <c r="B67" s="2" t="s">
        <v>101</v>
      </c>
      <c r="C67" s="2" t="str">
        <f t="shared" ref="C67:C130" si="4">TEXT(B67,"MMM-YYYY")</f>
        <v>Jan-2024</v>
      </c>
      <c r="D67" t="s">
        <v>20</v>
      </c>
      <c r="E67" t="s">
        <v>21</v>
      </c>
      <c r="F67" t="s">
        <v>18</v>
      </c>
      <c r="G67">
        <v>829</v>
      </c>
      <c r="H67">
        <v>228</v>
      </c>
      <c r="I67">
        <v>141</v>
      </c>
      <c r="J67">
        <v>31</v>
      </c>
      <c r="K67">
        <v>226982</v>
      </c>
      <c r="L67" s="1">
        <f t="shared" ref="L67:L130" si="5">H67/G67</f>
        <v>0.2750301568154403</v>
      </c>
      <c r="M67" s="1">
        <f t="shared" ref="M67:M130" si="6">I67/H67</f>
        <v>0.61842105263157898</v>
      </c>
      <c r="N67" s="1">
        <f t="shared" ref="N67:N130" si="7">J67/I67</f>
        <v>0.21985815602836881</v>
      </c>
    </row>
    <row r="68" spans="1:14" x14ac:dyDescent="0.3">
      <c r="A68" t="s">
        <v>103</v>
      </c>
      <c r="B68" s="2" t="s">
        <v>101</v>
      </c>
      <c r="C68" s="2" t="str">
        <f t="shared" si="4"/>
        <v>Jan-2024</v>
      </c>
      <c r="D68" t="s">
        <v>12</v>
      </c>
      <c r="E68" t="s">
        <v>13</v>
      </c>
      <c r="F68" t="s">
        <v>22</v>
      </c>
      <c r="G68">
        <v>714</v>
      </c>
      <c r="H68">
        <v>190</v>
      </c>
      <c r="I68">
        <v>126</v>
      </c>
      <c r="J68">
        <v>41</v>
      </c>
      <c r="K68">
        <v>292986</v>
      </c>
      <c r="L68" s="1">
        <f t="shared" si="5"/>
        <v>0.26610644257703081</v>
      </c>
      <c r="M68" s="1">
        <f t="shared" si="6"/>
        <v>0.66315789473684206</v>
      </c>
      <c r="N68" s="1">
        <f t="shared" si="7"/>
        <v>0.32539682539682541</v>
      </c>
    </row>
    <row r="69" spans="1:14" x14ac:dyDescent="0.3">
      <c r="A69" t="s">
        <v>104</v>
      </c>
      <c r="B69" s="2" t="s">
        <v>101</v>
      </c>
      <c r="C69" s="2" t="str">
        <f t="shared" si="4"/>
        <v>Jan-2024</v>
      </c>
      <c r="D69" t="s">
        <v>16</v>
      </c>
      <c r="E69" t="s">
        <v>17</v>
      </c>
      <c r="F69" t="s">
        <v>24</v>
      </c>
      <c r="G69">
        <v>1280</v>
      </c>
      <c r="H69">
        <v>188</v>
      </c>
      <c r="I69">
        <v>118</v>
      </c>
      <c r="J69">
        <v>53</v>
      </c>
      <c r="K69">
        <v>254930</v>
      </c>
      <c r="L69" s="1">
        <f t="shared" si="5"/>
        <v>0.14687500000000001</v>
      </c>
      <c r="M69" s="1">
        <f t="shared" si="6"/>
        <v>0.62765957446808507</v>
      </c>
      <c r="N69" s="1">
        <f t="shared" si="7"/>
        <v>0.44915254237288138</v>
      </c>
    </row>
    <row r="70" spans="1:14" x14ac:dyDescent="0.3">
      <c r="A70" t="s">
        <v>105</v>
      </c>
      <c r="B70" s="2" t="s">
        <v>106</v>
      </c>
      <c r="C70" s="2" t="str">
        <f t="shared" si="4"/>
        <v>Jan-2024</v>
      </c>
      <c r="D70" t="s">
        <v>20</v>
      </c>
      <c r="E70" t="s">
        <v>21</v>
      </c>
      <c r="F70" t="s">
        <v>14</v>
      </c>
      <c r="G70">
        <v>892</v>
      </c>
      <c r="H70">
        <v>189</v>
      </c>
      <c r="I70">
        <v>125</v>
      </c>
      <c r="J70">
        <v>52</v>
      </c>
      <c r="K70">
        <v>272012</v>
      </c>
      <c r="L70" s="1">
        <f t="shared" si="5"/>
        <v>0.21188340807174888</v>
      </c>
      <c r="M70" s="1">
        <f t="shared" si="6"/>
        <v>0.66137566137566139</v>
      </c>
      <c r="N70" s="1">
        <f t="shared" si="7"/>
        <v>0.41599999999999998</v>
      </c>
    </row>
    <row r="71" spans="1:14" x14ac:dyDescent="0.3">
      <c r="A71" t="s">
        <v>107</v>
      </c>
      <c r="B71" s="2" t="s">
        <v>106</v>
      </c>
      <c r="C71" s="2" t="str">
        <f t="shared" si="4"/>
        <v>Jan-2024</v>
      </c>
      <c r="D71" t="s">
        <v>12</v>
      </c>
      <c r="E71" t="s">
        <v>13</v>
      </c>
      <c r="F71" t="s">
        <v>18</v>
      </c>
      <c r="G71">
        <v>1519</v>
      </c>
      <c r="H71">
        <v>449</v>
      </c>
      <c r="I71">
        <v>306</v>
      </c>
      <c r="J71">
        <v>126</v>
      </c>
      <c r="K71">
        <v>1261638</v>
      </c>
      <c r="L71" s="1">
        <f t="shared" si="5"/>
        <v>0.2955892034233048</v>
      </c>
      <c r="M71" s="1">
        <f t="shared" si="6"/>
        <v>0.68151447661469933</v>
      </c>
      <c r="N71" s="1">
        <f t="shared" si="7"/>
        <v>0.41176470588235292</v>
      </c>
    </row>
    <row r="72" spans="1:14" x14ac:dyDescent="0.3">
      <c r="A72" t="s">
        <v>108</v>
      </c>
      <c r="B72" s="2" t="s">
        <v>106</v>
      </c>
      <c r="C72" s="2" t="str">
        <f t="shared" si="4"/>
        <v>Jan-2024</v>
      </c>
      <c r="D72" t="s">
        <v>16</v>
      </c>
      <c r="E72" t="s">
        <v>17</v>
      </c>
      <c r="F72" t="s">
        <v>22</v>
      </c>
      <c r="G72">
        <v>1887</v>
      </c>
      <c r="H72">
        <v>527</v>
      </c>
      <c r="I72">
        <v>221</v>
      </c>
      <c r="J72">
        <v>67</v>
      </c>
      <c r="K72">
        <v>643937</v>
      </c>
      <c r="L72" s="1">
        <f t="shared" si="5"/>
        <v>0.27927927927927926</v>
      </c>
      <c r="M72" s="1">
        <f t="shared" si="6"/>
        <v>0.41935483870967744</v>
      </c>
      <c r="N72" s="1">
        <f t="shared" si="7"/>
        <v>0.30316742081447962</v>
      </c>
    </row>
    <row r="73" spans="1:14" x14ac:dyDescent="0.3">
      <c r="A73" t="s">
        <v>109</v>
      </c>
      <c r="B73" s="2" t="s">
        <v>106</v>
      </c>
      <c r="C73" s="2" t="str">
        <f t="shared" si="4"/>
        <v>Jan-2024</v>
      </c>
      <c r="D73" t="s">
        <v>20</v>
      </c>
      <c r="E73" t="s">
        <v>21</v>
      </c>
      <c r="F73" t="s">
        <v>24</v>
      </c>
      <c r="G73">
        <v>1826</v>
      </c>
      <c r="H73">
        <v>492</v>
      </c>
      <c r="I73">
        <v>379</v>
      </c>
      <c r="J73">
        <v>106</v>
      </c>
      <c r="K73">
        <v>741258</v>
      </c>
      <c r="L73" s="1">
        <f t="shared" si="5"/>
        <v>0.26944140197152244</v>
      </c>
      <c r="M73" s="1">
        <f t="shared" si="6"/>
        <v>0.77032520325203258</v>
      </c>
      <c r="N73" s="1">
        <f t="shared" si="7"/>
        <v>0.27968337730870713</v>
      </c>
    </row>
    <row r="74" spans="1:14" x14ac:dyDescent="0.3">
      <c r="A74" t="s">
        <v>110</v>
      </c>
      <c r="B74" s="2" t="s">
        <v>111</v>
      </c>
      <c r="C74" s="2" t="str">
        <f t="shared" si="4"/>
        <v>Jan-2024</v>
      </c>
      <c r="D74" t="s">
        <v>12</v>
      </c>
      <c r="E74" t="s">
        <v>13</v>
      </c>
      <c r="F74" t="s">
        <v>14</v>
      </c>
      <c r="G74">
        <v>673</v>
      </c>
      <c r="H74">
        <v>147</v>
      </c>
      <c r="I74">
        <v>74</v>
      </c>
      <c r="J74">
        <v>27</v>
      </c>
      <c r="K74">
        <v>231066</v>
      </c>
      <c r="L74" s="1">
        <f t="shared" si="5"/>
        <v>0.21842496285289748</v>
      </c>
      <c r="M74" s="1">
        <f t="shared" si="6"/>
        <v>0.50340136054421769</v>
      </c>
      <c r="N74" s="1">
        <f t="shared" si="7"/>
        <v>0.36486486486486486</v>
      </c>
    </row>
    <row r="75" spans="1:14" x14ac:dyDescent="0.3">
      <c r="A75" t="s">
        <v>112</v>
      </c>
      <c r="B75" s="2" t="s">
        <v>111</v>
      </c>
      <c r="C75" s="2" t="str">
        <f t="shared" si="4"/>
        <v>Jan-2024</v>
      </c>
      <c r="D75" t="s">
        <v>16</v>
      </c>
      <c r="E75" t="s">
        <v>17</v>
      </c>
      <c r="F75" t="s">
        <v>18</v>
      </c>
      <c r="G75">
        <v>1460</v>
      </c>
      <c r="H75">
        <v>423</v>
      </c>
      <c r="I75">
        <v>216</v>
      </c>
      <c r="J75">
        <v>97</v>
      </c>
      <c r="K75">
        <v>467734</v>
      </c>
      <c r="L75" s="1">
        <f t="shared" si="5"/>
        <v>0.28972602739726028</v>
      </c>
      <c r="M75" s="1">
        <f t="shared" si="6"/>
        <v>0.51063829787234039</v>
      </c>
      <c r="N75" s="1">
        <f t="shared" si="7"/>
        <v>0.44907407407407407</v>
      </c>
    </row>
    <row r="76" spans="1:14" x14ac:dyDescent="0.3">
      <c r="A76" t="s">
        <v>113</v>
      </c>
      <c r="B76" s="2" t="s">
        <v>111</v>
      </c>
      <c r="C76" s="2" t="str">
        <f t="shared" si="4"/>
        <v>Jan-2024</v>
      </c>
      <c r="D76" t="s">
        <v>20</v>
      </c>
      <c r="E76" t="s">
        <v>21</v>
      </c>
      <c r="F76" t="s">
        <v>22</v>
      </c>
      <c r="G76">
        <v>1067</v>
      </c>
      <c r="H76">
        <v>126</v>
      </c>
      <c r="I76">
        <v>75</v>
      </c>
      <c r="J76">
        <v>22</v>
      </c>
      <c r="K76">
        <v>132638</v>
      </c>
      <c r="L76" s="1">
        <f t="shared" si="5"/>
        <v>0.11808809746954077</v>
      </c>
      <c r="M76" s="1">
        <f t="shared" si="6"/>
        <v>0.59523809523809523</v>
      </c>
      <c r="N76" s="1">
        <f t="shared" si="7"/>
        <v>0.29333333333333333</v>
      </c>
    </row>
    <row r="77" spans="1:14" x14ac:dyDescent="0.3">
      <c r="A77" t="s">
        <v>114</v>
      </c>
      <c r="B77" s="2" t="s">
        <v>111</v>
      </c>
      <c r="C77" s="2" t="str">
        <f t="shared" si="4"/>
        <v>Jan-2024</v>
      </c>
      <c r="D77" t="s">
        <v>12</v>
      </c>
      <c r="E77" t="s">
        <v>13</v>
      </c>
      <c r="F77" t="s">
        <v>24</v>
      </c>
      <c r="G77">
        <v>944</v>
      </c>
      <c r="H77">
        <v>176</v>
      </c>
      <c r="I77">
        <v>79</v>
      </c>
      <c r="J77">
        <v>34</v>
      </c>
      <c r="K77">
        <v>437512</v>
      </c>
      <c r="L77" s="1">
        <f t="shared" si="5"/>
        <v>0.1864406779661017</v>
      </c>
      <c r="M77" s="1">
        <f t="shared" si="6"/>
        <v>0.44886363636363635</v>
      </c>
      <c r="N77" s="1">
        <f t="shared" si="7"/>
        <v>0.43037974683544306</v>
      </c>
    </row>
    <row r="78" spans="1:14" x14ac:dyDescent="0.3">
      <c r="A78" t="s">
        <v>115</v>
      </c>
      <c r="B78" s="2" t="s">
        <v>116</v>
      </c>
      <c r="C78" s="2" t="str">
        <f t="shared" si="4"/>
        <v>Jan-2024</v>
      </c>
      <c r="D78" t="s">
        <v>16</v>
      </c>
      <c r="E78" t="s">
        <v>17</v>
      </c>
      <c r="F78" t="s">
        <v>14</v>
      </c>
      <c r="G78">
        <v>1612</v>
      </c>
      <c r="H78">
        <v>303</v>
      </c>
      <c r="I78">
        <v>230</v>
      </c>
      <c r="J78">
        <v>58</v>
      </c>
      <c r="K78">
        <v>379436</v>
      </c>
      <c r="L78" s="1">
        <f t="shared" si="5"/>
        <v>0.1879652605459057</v>
      </c>
      <c r="M78" s="1">
        <f t="shared" si="6"/>
        <v>0.75907590759075905</v>
      </c>
      <c r="N78" s="1">
        <f t="shared" si="7"/>
        <v>0.25217391304347825</v>
      </c>
    </row>
    <row r="79" spans="1:14" x14ac:dyDescent="0.3">
      <c r="A79" t="s">
        <v>117</v>
      </c>
      <c r="B79" s="2" t="s">
        <v>116</v>
      </c>
      <c r="C79" s="2" t="str">
        <f t="shared" si="4"/>
        <v>Jan-2024</v>
      </c>
      <c r="D79" t="s">
        <v>20</v>
      </c>
      <c r="E79" t="s">
        <v>21</v>
      </c>
      <c r="F79" t="s">
        <v>18</v>
      </c>
      <c r="G79">
        <v>863</v>
      </c>
      <c r="H79">
        <v>169</v>
      </c>
      <c r="I79">
        <v>96</v>
      </c>
      <c r="J79">
        <v>20</v>
      </c>
      <c r="K79">
        <v>150200</v>
      </c>
      <c r="L79" s="1">
        <f t="shared" si="5"/>
        <v>0.19582850521436848</v>
      </c>
      <c r="M79" s="1">
        <f t="shared" si="6"/>
        <v>0.56804733727810652</v>
      </c>
      <c r="N79" s="1">
        <f t="shared" si="7"/>
        <v>0.20833333333333334</v>
      </c>
    </row>
    <row r="80" spans="1:14" x14ac:dyDescent="0.3">
      <c r="A80" t="s">
        <v>118</v>
      </c>
      <c r="B80" s="2" t="s">
        <v>116</v>
      </c>
      <c r="C80" s="2" t="str">
        <f t="shared" si="4"/>
        <v>Jan-2024</v>
      </c>
      <c r="D80" t="s">
        <v>12</v>
      </c>
      <c r="E80" t="s">
        <v>13</v>
      </c>
      <c r="F80" t="s">
        <v>22</v>
      </c>
      <c r="G80">
        <v>1746</v>
      </c>
      <c r="H80">
        <v>259</v>
      </c>
      <c r="I80">
        <v>118</v>
      </c>
      <c r="J80">
        <v>45</v>
      </c>
      <c r="K80">
        <v>446355</v>
      </c>
      <c r="L80" s="1">
        <f t="shared" si="5"/>
        <v>0.14833906071019473</v>
      </c>
      <c r="M80" s="1">
        <f t="shared" si="6"/>
        <v>0.45559845559845558</v>
      </c>
      <c r="N80" s="1">
        <f t="shared" si="7"/>
        <v>0.38135593220338981</v>
      </c>
    </row>
    <row r="81" spans="1:14" x14ac:dyDescent="0.3">
      <c r="A81" t="s">
        <v>119</v>
      </c>
      <c r="B81" s="2" t="s">
        <v>116</v>
      </c>
      <c r="C81" s="2" t="str">
        <f t="shared" si="4"/>
        <v>Jan-2024</v>
      </c>
      <c r="D81" t="s">
        <v>16</v>
      </c>
      <c r="E81" t="s">
        <v>17</v>
      </c>
      <c r="F81" t="s">
        <v>24</v>
      </c>
      <c r="G81">
        <v>837</v>
      </c>
      <c r="H81">
        <v>104</v>
      </c>
      <c r="I81">
        <v>59</v>
      </c>
      <c r="J81">
        <v>21</v>
      </c>
      <c r="K81">
        <v>301287</v>
      </c>
      <c r="L81" s="1">
        <f t="shared" si="5"/>
        <v>0.12425328554360812</v>
      </c>
      <c r="M81" s="1">
        <f t="shared" si="6"/>
        <v>0.56730769230769229</v>
      </c>
      <c r="N81" s="1">
        <f t="shared" si="7"/>
        <v>0.3559322033898305</v>
      </c>
    </row>
    <row r="82" spans="1:14" x14ac:dyDescent="0.3">
      <c r="A82" t="s">
        <v>120</v>
      </c>
      <c r="B82" s="2" t="s">
        <v>121</v>
      </c>
      <c r="C82" s="2" t="str">
        <f t="shared" si="4"/>
        <v>Jan-2024</v>
      </c>
      <c r="D82" t="s">
        <v>20</v>
      </c>
      <c r="E82" t="s">
        <v>21</v>
      </c>
      <c r="F82" t="s">
        <v>14</v>
      </c>
      <c r="G82">
        <v>1454</v>
      </c>
      <c r="H82">
        <v>417</v>
      </c>
      <c r="I82">
        <v>330</v>
      </c>
      <c r="J82">
        <v>114</v>
      </c>
      <c r="K82">
        <v>1390686</v>
      </c>
      <c r="L82" s="1">
        <f t="shared" si="5"/>
        <v>0.28679504814305362</v>
      </c>
      <c r="M82" s="1">
        <f t="shared" si="6"/>
        <v>0.79136690647482011</v>
      </c>
      <c r="N82" s="1">
        <f t="shared" si="7"/>
        <v>0.34545454545454546</v>
      </c>
    </row>
    <row r="83" spans="1:14" x14ac:dyDescent="0.3">
      <c r="A83" t="s">
        <v>122</v>
      </c>
      <c r="B83" s="2" t="s">
        <v>121</v>
      </c>
      <c r="C83" s="2" t="str">
        <f t="shared" si="4"/>
        <v>Jan-2024</v>
      </c>
      <c r="D83" t="s">
        <v>12</v>
      </c>
      <c r="E83" t="s">
        <v>13</v>
      </c>
      <c r="F83" t="s">
        <v>18</v>
      </c>
      <c r="G83">
        <v>1890</v>
      </c>
      <c r="H83">
        <v>446</v>
      </c>
      <c r="I83">
        <v>237</v>
      </c>
      <c r="J83">
        <v>112</v>
      </c>
      <c r="K83">
        <v>842800</v>
      </c>
      <c r="L83" s="1">
        <f t="shared" si="5"/>
        <v>0.23597883597883598</v>
      </c>
      <c r="M83" s="1">
        <f t="shared" si="6"/>
        <v>0.53139013452914796</v>
      </c>
      <c r="N83" s="1">
        <f t="shared" si="7"/>
        <v>0.47257383966244726</v>
      </c>
    </row>
    <row r="84" spans="1:14" x14ac:dyDescent="0.3">
      <c r="A84" t="s">
        <v>123</v>
      </c>
      <c r="B84" s="2" t="s">
        <v>121</v>
      </c>
      <c r="C84" s="2" t="str">
        <f t="shared" si="4"/>
        <v>Jan-2024</v>
      </c>
      <c r="D84" t="s">
        <v>16</v>
      </c>
      <c r="E84" t="s">
        <v>17</v>
      </c>
      <c r="F84" t="s">
        <v>22</v>
      </c>
      <c r="G84">
        <v>1021</v>
      </c>
      <c r="H84">
        <v>265</v>
      </c>
      <c r="I84">
        <v>182</v>
      </c>
      <c r="J84">
        <v>78</v>
      </c>
      <c r="K84">
        <v>528918</v>
      </c>
      <c r="L84" s="1">
        <f t="shared" si="5"/>
        <v>0.25954946131243878</v>
      </c>
      <c r="M84" s="1">
        <f t="shared" si="6"/>
        <v>0.68679245283018864</v>
      </c>
      <c r="N84" s="1">
        <f t="shared" si="7"/>
        <v>0.42857142857142855</v>
      </c>
    </row>
    <row r="85" spans="1:14" x14ac:dyDescent="0.3">
      <c r="A85" t="s">
        <v>124</v>
      </c>
      <c r="B85" s="2" t="s">
        <v>121</v>
      </c>
      <c r="C85" s="2" t="str">
        <f t="shared" si="4"/>
        <v>Jan-2024</v>
      </c>
      <c r="D85" t="s">
        <v>20</v>
      </c>
      <c r="E85" t="s">
        <v>21</v>
      </c>
      <c r="F85" t="s">
        <v>24</v>
      </c>
      <c r="G85">
        <v>1145</v>
      </c>
      <c r="H85">
        <v>206</v>
      </c>
      <c r="I85">
        <v>94</v>
      </c>
      <c r="J85">
        <v>39</v>
      </c>
      <c r="K85">
        <v>465387</v>
      </c>
      <c r="L85" s="1">
        <f t="shared" si="5"/>
        <v>0.1799126637554585</v>
      </c>
      <c r="M85" s="1">
        <f t="shared" si="6"/>
        <v>0.4563106796116505</v>
      </c>
      <c r="N85" s="1">
        <f t="shared" si="7"/>
        <v>0.41489361702127658</v>
      </c>
    </row>
    <row r="86" spans="1:14" x14ac:dyDescent="0.3">
      <c r="A86" t="s">
        <v>125</v>
      </c>
      <c r="B86" s="2" t="s">
        <v>126</v>
      </c>
      <c r="C86" s="2" t="str">
        <f t="shared" si="4"/>
        <v>Jan-2024</v>
      </c>
      <c r="D86" t="s">
        <v>12</v>
      </c>
      <c r="E86" t="s">
        <v>13</v>
      </c>
      <c r="F86" t="s">
        <v>14</v>
      </c>
      <c r="G86">
        <v>1302</v>
      </c>
      <c r="H86">
        <v>316</v>
      </c>
      <c r="I86">
        <v>241</v>
      </c>
      <c r="J86">
        <v>104</v>
      </c>
      <c r="K86">
        <v>860600</v>
      </c>
      <c r="L86" s="1">
        <f t="shared" si="5"/>
        <v>0.24270353302611367</v>
      </c>
      <c r="M86" s="1">
        <f t="shared" si="6"/>
        <v>0.76265822784810122</v>
      </c>
      <c r="N86" s="1">
        <f t="shared" si="7"/>
        <v>0.43153526970954359</v>
      </c>
    </row>
    <row r="87" spans="1:14" x14ac:dyDescent="0.3">
      <c r="A87" t="s">
        <v>127</v>
      </c>
      <c r="B87" s="2" t="s">
        <v>126</v>
      </c>
      <c r="C87" s="2" t="str">
        <f t="shared" si="4"/>
        <v>Jan-2024</v>
      </c>
      <c r="D87" t="s">
        <v>16</v>
      </c>
      <c r="E87" t="s">
        <v>17</v>
      </c>
      <c r="F87" t="s">
        <v>18</v>
      </c>
      <c r="G87">
        <v>1196</v>
      </c>
      <c r="H87">
        <v>228</v>
      </c>
      <c r="I87">
        <v>174</v>
      </c>
      <c r="J87">
        <v>76</v>
      </c>
      <c r="K87">
        <v>760608</v>
      </c>
      <c r="L87" s="1">
        <f t="shared" si="5"/>
        <v>0.19063545150501673</v>
      </c>
      <c r="M87" s="1">
        <f t="shared" si="6"/>
        <v>0.76315789473684215</v>
      </c>
      <c r="N87" s="1">
        <f t="shared" si="7"/>
        <v>0.43678160919540232</v>
      </c>
    </row>
    <row r="88" spans="1:14" x14ac:dyDescent="0.3">
      <c r="A88" t="s">
        <v>128</v>
      </c>
      <c r="B88" s="2" t="s">
        <v>126</v>
      </c>
      <c r="C88" s="2" t="str">
        <f t="shared" si="4"/>
        <v>Jan-2024</v>
      </c>
      <c r="D88" t="s">
        <v>20</v>
      </c>
      <c r="E88" t="s">
        <v>21</v>
      </c>
      <c r="F88" t="s">
        <v>22</v>
      </c>
      <c r="G88">
        <v>1669</v>
      </c>
      <c r="H88">
        <v>448</v>
      </c>
      <c r="I88">
        <v>299</v>
      </c>
      <c r="J88">
        <v>109</v>
      </c>
      <c r="K88">
        <v>1543985</v>
      </c>
      <c r="L88" s="1">
        <f t="shared" si="5"/>
        <v>0.26842420611144396</v>
      </c>
      <c r="M88" s="1">
        <f t="shared" si="6"/>
        <v>0.6674107142857143</v>
      </c>
      <c r="N88" s="1">
        <f t="shared" si="7"/>
        <v>0.36454849498327757</v>
      </c>
    </row>
    <row r="89" spans="1:14" x14ac:dyDescent="0.3">
      <c r="A89" t="s">
        <v>129</v>
      </c>
      <c r="B89" s="2" t="s">
        <v>126</v>
      </c>
      <c r="C89" s="2" t="str">
        <f t="shared" si="4"/>
        <v>Jan-2024</v>
      </c>
      <c r="D89" t="s">
        <v>12</v>
      </c>
      <c r="E89" t="s">
        <v>13</v>
      </c>
      <c r="F89" t="s">
        <v>24</v>
      </c>
      <c r="G89">
        <v>1421</v>
      </c>
      <c r="H89">
        <v>237</v>
      </c>
      <c r="I89">
        <v>146</v>
      </c>
      <c r="J89">
        <v>55</v>
      </c>
      <c r="K89">
        <v>616550</v>
      </c>
      <c r="L89" s="1">
        <f t="shared" si="5"/>
        <v>0.16678395496129486</v>
      </c>
      <c r="M89" s="1">
        <f t="shared" si="6"/>
        <v>0.61603375527426163</v>
      </c>
      <c r="N89" s="1">
        <f t="shared" si="7"/>
        <v>0.37671232876712329</v>
      </c>
    </row>
    <row r="90" spans="1:14" x14ac:dyDescent="0.3">
      <c r="A90" t="s">
        <v>130</v>
      </c>
      <c r="B90" s="2" t="s">
        <v>131</v>
      </c>
      <c r="C90" s="2" t="str">
        <f t="shared" si="4"/>
        <v>Jan-2024</v>
      </c>
      <c r="D90" t="s">
        <v>16</v>
      </c>
      <c r="E90" t="s">
        <v>17</v>
      </c>
      <c r="F90" t="s">
        <v>14</v>
      </c>
      <c r="G90">
        <v>1677</v>
      </c>
      <c r="H90">
        <v>407</v>
      </c>
      <c r="I90">
        <v>226</v>
      </c>
      <c r="J90">
        <v>101</v>
      </c>
      <c r="K90">
        <v>1492881</v>
      </c>
      <c r="L90" s="1">
        <f t="shared" si="5"/>
        <v>0.2426952892069171</v>
      </c>
      <c r="M90" s="1">
        <f t="shared" si="6"/>
        <v>0.55528255528255532</v>
      </c>
      <c r="N90" s="1">
        <f t="shared" si="7"/>
        <v>0.44690265486725661</v>
      </c>
    </row>
    <row r="91" spans="1:14" x14ac:dyDescent="0.3">
      <c r="A91" t="s">
        <v>132</v>
      </c>
      <c r="B91" s="2" t="s">
        <v>131</v>
      </c>
      <c r="C91" s="2" t="str">
        <f t="shared" si="4"/>
        <v>Jan-2024</v>
      </c>
      <c r="D91" t="s">
        <v>20</v>
      </c>
      <c r="E91" t="s">
        <v>21</v>
      </c>
      <c r="F91" t="s">
        <v>18</v>
      </c>
      <c r="G91">
        <v>842</v>
      </c>
      <c r="H91">
        <v>174</v>
      </c>
      <c r="I91">
        <v>88</v>
      </c>
      <c r="J91">
        <v>37</v>
      </c>
      <c r="K91">
        <v>451474</v>
      </c>
      <c r="L91" s="1">
        <f t="shared" si="5"/>
        <v>0.20665083135391923</v>
      </c>
      <c r="M91" s="1">
        <f t="shared" si="6"/>
        <v>0.50574712643678166</v>
      </c>
      <c r="N91" s="1">
        <f t="shared" si="7"/>
        <v>0.42045454545454547</v>
      </c>
    </row>
    <row r="92" spans="1:14" x14ac:dyDescent="0.3">
      <c r="A92" t="s">
        <v>133</v>
      </c>
      <c r="B92" s="2" t="s">
        <v>131</v>
      </c>
      <c r="C92" s="2" t="str">
        <f t="shared" si="4"/>
        <v>Jan-2024</v>
      </c>
      <c r="D92" t="s">
        <v>12</v>
      </c>
      <c r="E92" t="s">
        <v>13</v>
      </c>
      <c r="F92" t="s">
        <v>22</v>
      </c>
      <c r="G92">
        <v>1216</v>
      </c>
      <c r="H92">
        <v>314</v>
      </c>
      <c r="I92">
        <v>158</v>
      </c>
      <c r="J92">
        <v>66</v>
      </c>
      <c r="K92">
        <v>491106</v>
      </c>
      <c r="L92" s="1">
        <f t="shared" si="5"/>
        <v>0.25822368421052633</v>
      </c>
      <c r="M92" s="1">
        <f t="shared" si="6"/>
        <v>0.50318471337579618</v>
      </c>
      <c r="N92" s="1">
        <f t="shared" si="7"/>
        <v>0.41772151898734178</v>
      </c>
    </row>
    <row r="93" spans="1:14" x14ac:dyDescent="0.3">
      <c r="A93" t="s">
        <v>134</v>
      </c>
      <c r="B93" s="2" t="s">
        <v>131</v>
      </c>
      <c r="C93" s="2" t="str">
        <f t="shared" si="4"/>
        <v>Jan-2024</v>
      </c>
      <c r="D93" t="s">
        <v>16</v>
      </c>
      <c r="E93" t="s">
        <v>17</v>
      </c>
      <c r="F93" t="s">
        <v>24</v>
      </c>
      <c r="G93">
        <v>1630</v>
      </c>
      <c r="H93">
        <v>214</v>
      </c>
      <c r="I93">
        <v>106</v>
      </c>
      <c r="J93">
        <v>35</v>
      </c>
      <c r="K93">
        <v>463155</v>
      </c>
      <c r="L93" s="1">
        <f t="shared" si="5"/>
        <v>0.1312883435582822</v>
      </c>
      <c r="M93" s="1">
        <f t="shared" si="6"/>
        <v>0.49532710280373832</v>
      </c>
      <c r="N93" s="1">
        <f t="shared" si="7"/>
        <v>0.330188679245283</v>
      </c>
    </row>
    <row r="94" spans="1:14" x14ac:dyDescent="0.3">
      <c r="A94" t="s">
        <v>135</v>
      </c>
      <c r="B94" s="2" t="s">
        <v>136</v>
      </c>
      <c r="C94" s="2" t="str">
        <f t="shared" si="4"/>
        <v>Jan-2024</v>
      </c>
      <c r="D94" t="s">
        <v>20</v>
      </c>
      <c r="E94" t="s">
        <v>21</v>
      </c>
      <c r="F94" t="s">
        <v>14</v>
      </c>
      <c r="G94">
        <v>1295</v>
      </c>
      <c r="H94">
        <v>298</v>
      </c>
      <c r="I94">
        <v>152</v>
      </c>
      <c r="J94">
        <v>45</v>
      </c>
      <c r="K94">
        <v>666045</v>
      </c>
      <c r="L94" s="1">
        <f t="shared" si="5"/>
        <v>0.23011583011583012</v>
      </c>
      <c r="M94" s="1">
        <f t="shared" si="6"/>
        <v>0.51006711409395977</v>
      </c>
      <c r="N94" s="1">
        <f t="shared" si="7"/>
        <v>0.29605263157894735</v>
      </c>
    </row>
    <row r="95" spans="1:14" x14ac:dyDescent="0.3">
      <c r="A95" t="s">
        <v>137</v>
      </c>
      <c r="B95" s="2" t="s">
        <v>136</v>
      </c>
      <c r="C95" s="2" t="str">
        <f t="shared" si="4"/>
        <v>Jan-2024</v>
      </c>
      <c r="D95" t="s">
        <v>12</v>
      </c>
      <c r="E95" t="s">
        <v>13</v>
      </c>
      <c r="F95" t="s">
        <v>18</v>
      </c>
      <c r="G95">
        <v>1723</v>
      </c>
      <c r="H95">
        <v>219</v>
      </c>
      <c r="I95">
        <v>132</v>
      </c>
      <c r="J95">
        <v>65</v>
      </c>
      <c r="K95">
        <v>262340</v>
      </c>
      <c r="L95" s="1">
        <f t="shared" si="5"/>
        <v>0.12710388856645385</v>
      </c>
      <c r="M95" s="1">
        <f t="shared" si="6"/>
        <v>0.60273972602739723</v>
      </c>
      <c r="N95" s="1">
        <f t="shared" si="7"/>
        <v>0.49242424242424243</v>
      </c>
    </row>
    <row r="96" spans="1:14" x14ac:dyDescent="0.3">
      <c r="A96" t="s">
        <v>138</v>
      </c>
      <c r="B96" s="2" t="s">
        <v>136</v>
      </c>
      <c r="C96" s="2" t="str">
        <f t="shared" si="4"/>
        <v>Jan-2024</v>
      </c>
      <c r="D96" t="s">
        <v>16</v>
      </c>
      <c r="E96" t="s">
        <v>17</v>
      </c>
      <c r="F96" t="s">
        <v>22</v>
      </c>
      <c r="G96">
        <v>1559</v>
      </c>
      <c r="H96">
        <v>393</v>
      </c>
      <c r="I96">
        <v>209</v>
      </c>
      <c r="J96">
        <v>98</v>
      </c>
      <c r="K96">
        <v>947366</v>
      </c>
      <c r="L96" s="1">
        <f t="shared" si="5"/>
        <v>0.25208466966003851</v>
      </c>
      <c r="M96" s="1">
        <f t="shared" si="6"/>
        <v>0.53180661577608146</v>
      </c>
      <c r="N96" s="1">
        <f t="shared" si="7"/>
        <v>0.46889952153110048</v>
      </c>
    </row>
    <row r="97" spans="1:14" x14ac:dyDescent="0.3">
      <c r="A97" t="s">
        <v>139</v>
      </c>
      <c r="B97" s="2" t="s">
        <v>136</v>
      </c>
      <c r="C97" s="2" t="str">
        <f t="shared" si="4"/>
        <v>Jan-2024</v>
      </c>
      <c r="D97" t="s">
        <v>20</v>
      </c>
      <c r="E97" t="s">
        <v>21</v>
      </c>
      <c r="F97" t="s">
        <v>24</v>
      </c>
      <c r="G97">
        <v>587</v>
      </c>
      <c r="H97">
        <v>62</v>
      </c>
      <c r="I97">
        <v>43</v>
      </c>
      <c r="J97">
        <v>17</v>
      </c>
      <c r="K97">
        <v>252229</v>
      </c>
      <c r="L97" s="1">
        <f t="shared" si="5"/>
        <v>0.10562180579216354</v>
      </c>
      <c r="M97" s="1">
        <f t="shared" si="6"/>
        <v>0.69354838709677424</v>
      </c>
      <c r="N97" s="1">
        <f t="shared" si="7"/>
        <v>0.39534883720930231</v>
      </c>
    </row>
    <row r="98" spans="1:14" x14ac:dyDescent="0.3">
      <c r="A98" t="s">
        <v>140</v>
      </c>
      <c r="B98" s="2" t="s">
        <v>141</v>
      </c>
      <c r="C98" s="2" t="str">
        <f t="shared" si="4"/>
        <v>Jan-2024</v>
      </c>
      <c r="D98" t="s">
        <v>12</v>
      </c>
      <c r="E98" t="s">
        <v>13</v>
      </c>
      <c r="F98" t="s">
        <v>14</v>
      </c>
      <c r="G98">
        <v>1713</v>
      </c>
      <c r="H98">
        <v>496</v>
      </c>
      <c r="I98">
        <v>220</v>
      </c>
      <c r="J98">
        <v>77</v>
      </c>
      <c r="K98">
        <v>832678</v>
      </c>
      <c r="L98" s="1">
        <f t="shared" si="5"/>
        <v>0.28955049620548745</v>
      </c>
      <c r="M98" s="1">
        <f t="shared" si="6"/>
        <v>0.44354838709677419</v>
      </c>
      <c r="N98" s="1">
        <f t="shared" si="7"/>
        <v>0.35</v>
      </c>
    </row>
    <row r="99" spans="1:14" x14ac:dyDescent="0.3">
      <c r="A99" t="s">
        <v>142</v>
      </c>
      <c r="B99" s="2" t="s">
        <v>141</v>
      </c>
      <c r="C99" s="2" t="str">
        <f t="shared" si="4"/>
        <v>Jan-2024</v>
      </c>
      <c r="D99" t="s">
        <v>16</v>
      </c>
      <c r="E99" t="s">
        <v>17</v>
      </c>
      <c r="F99" t="s">
        <v>18</v>
      </c>
      <c r="G99">
        <v>884</v>
      </c>
      <c r="H99">
        <v>255</v>
      </c>
      <c r="I99">
        <v>129</v>
      </c>
      <c r="J99">
        <v>32</v>
      </c>
      <c r="K99">
        <v>140000</v>
      </c>
      <c r="L99" s="1">
        <f t="shared" si="5"/>
        <v>0.28846153846153844</v>
      </c>
      <c r="M99" s="1">
        <f t="shared" si="6"/>
        <v>0.50588235294117645</v>
      </c>
      <c r="N99" s="1">
        <f t="shared" si="7"/>
        <v>0.24806201550387597</v>
      </c>
    </row>
    <row r="100" spans="1:14" x14ac:dyDescent="0.3">
      <c r="A100" t="s">
        <v>143</v>
      </c>
      <c r="B100" s="2" t="s">
        <v>141</v>
      </c>
      <c r="C100" s="2" t="str">
        <f t="shared" si="4"/>
        <v>Jan-2024</v>
      </c>
      <c r="D100" t="s">
        <v>20</v>
      </c>
      <c r="E100" t="s">
        <v>21</v>
      </c>
      <c r="F100" t="s">
        <v>22</v>
      </c>
      <c r="G100">
        <v>853</v>
      </c>
      <c r="H100">
        <v>89</v>
      </c>
      <c r="I100">
        <v>52</v>
      </c>
      <c r="J100">
        <v>24</v>
      </c>
      <c r="K100">
        <v>330288</v>
      </c>
      <c r="L100" s="1">
        <f t="shared" si="5"/>
        <v>0.10433763188745604</v>
      </c>
      <c r="M100" s="1">
        <f t="shared" si="6"/>
        <v>0.5842696629213483</v>
      </c>
      <c r="N100" s="1">
        <f t="shared" si="7"/>
        <v>0.46153846153846156</v>
      </c>
    </row>
    <row r="101" spans="1:14" x14ac:dyDescent="0.3">
      <c r="A101" t="s">
        <v>144</v>
      </c>
      <c r="B101" s="2" t="s">
        <v>141</v>
      </c>
      <c r="C101" s="2" t="str">
        <f t="shared" si="4"/>
        <v>Jan-2024</v>
      </c>
      <c r="D101" t="s">
        <v>12</v>
      </c>
      <c r="E101" t="s">
        <v>13</v>
      </c>
      <c r="F101" t="s">
        <v>24</v>
      </c>
      <c r="G101">
        <v>1328</v>
      </c>
      <c r="H101">
        <v>376</v>
      </c>
      <c r="I101">
        <v>246</v>
      </c>
      <c r="J101">
        <v>115</v>
      </c>
      <c r="K101">
        <v>1489135</v>
      </c>
      <c r="L101" s="1">
        <f t="shared" si="5"/>
        <v>0.28313253012048195</v>
      </c>
      <c r="M101" s="1">
        <f t="shared" si="6"/>
        <v>0.6542553191489362</v>
      </c>
      <c r="N101" s="1">
        <f t="shared" si="7"/>
        <v>0.46747967479674796</v>
      </c>
    </row>
    <row r="102" spans="1:14" x14ac:dyDescent="0.3">
      <c r="A102" t="s">
        <v>145</v>
      </c>
      <c r="B102" s="2" t="s">
        <v>146</v>
      </c>
      <c r="C102" s="2" t="str">
        <f t="shared" si="4"/>
        <v>Jan-2024</v>
      </c>
      <c r="D102" t="s">
        <v>16</v>
      </c>
      <c r="E102" t="s">
        <v>17</v>
      </c>
      <c r="F102" t="s">
        <v>14</v>
      </c>
      <c r="G102">
        <v>1416</v>
      </c>
      <c r="H102">
        <v>145</v>
      </c>
      <c r="I102">
        <v>60</v>
      </c>
      <c r="J102">
        <v>22</v>
      </c>
      <c r="K102">
        <v>95568</v>
      </c>
      <c r="L102" s="1">
        <f t="shared" si="5"/>
        <v>0.10240112994350282</v>
      </c>
      <c r="M102" s="1">
        <f t="shared" si="6"/>
        <v>0.41379310344827586</v>
      </c>
      <c r="N102" s="1">
        <f t="shared" si="7"/>
        <v>0.36666666666666664</v>
      </c>
    </row>
    <row r="103" spans="1:14" x14ac:dyDescent="0.3">
      <c r="A103" t="s">
        <v>147</v>
      </c>
      <c r="B103" s="2" t="s">
        <v>146</v>
      </c>
      <c r="C103" s="2" t="str">
        <f t="shared" si="4"/>
        <v>Jan-2024</v>
      </c>
      <c r="D103" t="s">
        <v>20</v>
      </c>
      <c r="E103" t="s">
        <v>21</v>
      </c>
      <c r="F103" t="s">
        <v>18</v>
      </c>
      <c r="G103">
        <v>1465</v>
      </c>
      <c r="H103">
        <v>351</v>
      </c>
      <c r="I103">
        <v>159</v>
      </c>
      <c r="J103">
        <v>76</v>
      </c>
      <c r="K103">
        <v>308408</v>
      </c>
      <c r="L103" s="1">
        <f t="shared" si="5"/>
        <v>0.23959044368600682</v>
      </c>
      <c r="M103" s="1">
        <f t="shared" si="6"/>
        <v>0.45299145299145299</v>
      </c>
      <c r="N103" s="1">
        <f t="shared" si="7"/>
        <v>0.4779874213836478</v>
      </c>
    </row>
    <row r="104" spans="1:14" x14ac:dyDescent="0.3">
      <c r="A104" t="s">
        <v>148</v>
      </c>
      <c r="B104" s="2" t="s">
        <v>146</v>
      </c>
      <c r="C104" s="2" t="str">
        <f t="shared" si="4"/>
        <v>Jan-2024</v>
      </c>
      <c r="D104" t="s">
        <v>12</v>
      </c>
      <c r="E104" t="s">
        <v>13</v>
      </c>
      <c r="F104" t="s">
        <v>22</v>
      </c>
      <c r="G104">
        <v>792</v>
      </c>
      <c r="H104">
        <v>104</v>
      </c>
      <c r="I104">
        <v>46</v>
      </c>
      <c r="J104">
        <v>22</v>
      </c>
      <c r="K104">
        <v>136268</v>
      </c>
      <c r="L104" s="1">
        <f t="shared" si="5"/>
        <v>0.13131313131313133</v>
      </c>
      <c r="M104" s="1">
        <f t="shared" si="6"/>
        <v>0.44230769230769229</v>
      </c>
      <c r="N104" s="1">
        <f t="shared" si="7"/>
        <v>0.47826086956521741</v>
      </c>
    </row>
    <row r="105" spans="1:14" x14ac:dyDescent="0.3">
      <c r="A105" t="s">
        <v>149</v>
      </c>
      <c r="B105" s="2" t="s">
        <v>146</v>
      </c>
      <c r="C105" s="2" t="str">
        <f t="shared" si="4"/>
        <v>Jan-2024</v>
      </c>
      <c r="D105" t="s">
        <v>16</v>
      </c>
      <c r="E105" t="s">
        <v>17</v>
      </c>
      <c r="F105" t="s">
        <v>24</v>
      </c>
      <c r="G105">
        <v>1831</v>
      </c>
      <c r="H105">
        <v>530</v>
      </c>
      <c r="I105">
        <v>217</v>
      </c>
      <c r="J105">
        <v>65</v>
      </c>
      <c r="K105">
        <v>358670</v>
      </c>
      <c r="L105" s="1">
        <f t="shared" si="5"/>
        <v>0.2894593118514473</v>
      </c>
      <c r="M105" s="1">
        <f t="shared" si="6"/>
        <v>0.40943396226415096</v>
      </c>
      <c r="N105" s="1">
        <f t="shared" si="7"/>
        <v>0.29953917050691242</v>
      </c>
    </row>
    <row r="106" spans="1:14" x14ac:dyDescent="0.3">
      <c r="A106" t="s">
        <v>150</v>
      </c>
      <c r="B106" s="2" t="s">
        <v>151</v>
      </c>
      <c r="C106" s="2" t="str">
        <f t="shared" si="4"/>
        <v>Jan-2024</v>
      </c>
      <c r="D106" t="s">
        <v>20</v>
      </c>
      <c r="E106" t="s">
        <v>21</v>
      </c>
      <c r="F106" t="s">
        <v>14</v>
      </c>
      <c r="G106">
        <v>961</v>
      </c>
      <c r="H106">
        <v>247</v>
      </c>
      <c r="I106">
        <v>103</v>
      </c>
      <c r="J106">
        <v>41</v>
      </c>
      <c r="K106">
        <v>301842</v>
      </c>
      <c r="L106" s="1">
        <f t="shared" si="5"/>
        <v>0.25702393340270552</v>
      </c>
      <c r="M106" s="1">
        <f t="shared" si="6"/>
        <v>0.41700404858299595</v>
      </c>
      <c r="N106" s="1">
        <f t="shared" si="7"/>
        <v>0.39805825242718446</v>
      </c>
    </row>
    <row r="107" spans="1:14" x14ac:dyDescent="0.3">
      <c r="A107" t="s">
        <v>152</v>
      </c>
      <c r="B107" s="2" t="s">
        <v>151</v>
      </c>
      <c r="C107" s="2" t="str">
        <f t="shared" si="4"/>
        <v>Jan-2024</v>
      </c>
      <c r="D107" t="s">
        <v>12</v>
      </c>
      <c r="E107" t="s">
        <v>13</v>
      </c>
      <c r="F107" t="s">
        <v>18</v>
      </c>
      <c r="G107">
        <v>1692</v>
      </c>
      <c r="H107">
        <v>240</v>
      </c>
      <c r="I107">
        <v>130</v>
      </c>
      <c r="J107">
        <v>51</v>
      </c>
      <c r="K107">
        <v>240006</v>
      </c>
      <c r="L107" s="1">
        <f t="shared" si="5"/>
        <v>0.14184397163120568</v>
      </c>
      <c r="M107" s="1">
        <f t="shared" si="6"/>
        <v>0.54166666666666663</v>
      </c>
      <c r="N107" s="1">
        <f t="shared" si="7"/>
        <v>0.3923076923076923</v>
      </c>
    </row>
    <row r="108" spans="1:14" x14ac:dyDescent="0.3">
      <c r="A108" t="s">
        <v>153</v>
      </c>
      <c r="B108" s="2" t="s">
        <v>151</v>
      </c>
      <c r="C108" s="2" t="str">
        <f t="shared" si="4"/>
        <v>Jan-2024</v>
      </c>
      <c r="D108" t="s">
        <v>16</v>
      </c>
      <c r="E108" t="s">
        <v>17</v>
      </c>
      <c r="F108" t="s">
        <v>22</v>
      </c>
      <c r="G108">
        <v>1020</v>
      </c>
      <c r="H108">
        <v>264</v>
      </c>
      <c r="I108">
        <v>200</v>
      </c>
      <c r="J108">
        <v>70</v>
      </c>
      <c r="K108">
        <v>353920</v>
      </c>
      <c r="L108" s="1">
        <f t="shared" si="5"/>
        <v>0.25882352941176473</v>
      </c>
      <c r="M108" s="1">
        <f t="shared" si="6"/>
        <v>0.75757575757575757</v>
      </c>
      <c r="N108" s="1">
        <f t="shared" si="7"/>
        <v>0.35</v>
      </c>
    </row>
    <row r="109" spans="1:14" x14ac:dyDescent="0.3">
      <c r="A109" t="s">
        <v>154</v>
      </c>
      <c r="B109" s="2" t="s">
        <v>151</v>
      </c>
      <c r="C109" s="2" t="str">
        <f t="shared" si="4"/>
        <v>Jan-2024</v>
      </c>
      <c r="D109" t="s">
        <v>20</v>
      </c>
      <c r="E109" t="s">
        <v>21</v>
      </c>
      <c r="F109" t="s">
        <v>24</v>
      </c>
      <c r="G109">
        <v>1223</v>
      </c>
      <c r="H109">
        <v>196</v>
      </c>
      <c r="I109">
        <v>83</v>
      </c>
      <c r="J109">
        <v>34</v>
      </c>
      <c r="K109">
        <v>266900</v>
      </c>
      <c r="L109" s="1">
        <f t="shared" si="5"/>
        <v>0.16026165167620604</v>
      </c>
      <c r="M109" s="1">
        <f t="shared" si="6"/>
        <v>0.42346938775510207</v>
      </c>
      <c r="N109" s="1">
        <f t="shared" si="7"/>
        <v>0.40963855421686746</v>
      </c>
    </row>
    <row r="110" spans="1:14" x14ac:dyDescent="0.3">
      <c r="A110" t="s">
        <v>155</v>
      </c>
      <c r="B110" s="2" t="s">
        <v>156</v>
      </c>
      <c r="C110" s="2" t="str">
        <f t="shared" si="4"/>
        <v>Jan-2024</v>
      </c>
      <c r="D110" t="s">
        <v>12</v>
      </c>
      <c r="E110" t="s">
        <v>13</v>
      </c>
      <c r="F110" t="s">
        <v>14</v>
      </c>
      <c r="G110">
        <v>1699</v>
      </c>
      <c r="H110">
        <v>258</v>
      </c>
      <c r="I110">
        <v>163</v>
      </c>
      <c r="J110">
        <v>67</v>
      </c>
      <c r="K110">
        <v>931702</v>
      </c>
      <c r="L110" s="1">
        <f t="shared" si="5"/>
        <v>0.15185403178340201</v>
      </c>
      <c r="M110" s="1">
        <f t="shared" si="6"/>
        <v>0.63178294573643412</v>
      </c>
      <c r="N110" s="1">
        <f t="shared" si="7"/>
        <v>0.41104294478527609</v>
      </c>
    </row>
    <row r="111" spans="1:14" x14ac:dyDescent="0.3">
      <c r="A111" t="s">
        <v>157</v>
      </c>
      <c r="B111" s="2" t="s">
        <v>156</v>
      </c>
      <c r="C111" s="2" t="str">
        <f t="shared" si="4"/>
        <v>Jan-2024</v>
      </c>
      <c r="D111" t="s">
        <v>16</v>
      </c>
      <c r="E111" t="s">
        <v>17</v>
      </c>
      <c r="F111" t="s">
        <v>18</v>
      </c>
      <c r="G111">
        <v>905</v>
      </c>
      <c r="H111">
        <v>222</v>
      </c>
      <c r="I111">
        <v>131</v>
      </c>
      <c r="J111">
        <v>49</v>
      </c>
      <c r="K111">
        <v>602210</v>
      </c>
      <c r="L111" s="1">
        <f t="shared" si="5"/>
        <v>0.24530386740331492</v>
      </c>
      <c r="M111" s="1">
        <f t="shared" si="6"/>
        <v>0.59009009009009006</v>
      </c>
      <c r="N111" s="1">
        <f t="shared" si="7"/>
        <v>0.37404580152671757</v>
      </c>
    </row>
    <row r="112" spans="1:14" x14ac:dyDescent="0.3">
      <c r="A112" t="s">
        <v>158</v>
      </c>
      <c r="B112" s="2" t="s">
        <v>156</v>
      </c>
      <c r="C112" s="2" t="str">
        <f t="shared" si="4"/>
        <v>Jan-2024</v>
      </c>
      <c r="D112" t="s">
        <v>20</v>
      </c>
      <c r="E112" t="s">
        <v>21</v>
      </c>
      <c r="F112" t="s">
        <v>22</v>
      </c>
      <c r="G112">
        <v>641</v>
      </c>
      <c r="H112">
        <v>129</v>
      </c>
      <c r="I112">
        <v>70</v>
      </c>
      <c r="J112">
        <v>30</v>
      </c>
      <c r="K112">
        <v>147750</v>
      </c>
      <c r="L112" s="1">
        <f t="shared" si="5"/>
        <v>0.20124804992199688</v>
      </c>
      <c r="M112" s="1">
        <f t="shared" si="6"/>
        <v>0.54263565891472865</v>
      </c>
      <c r="N112" s="1">
        <f t="shared" si="7"/>
        <v>0.42857142857142855</v>
      </c>
    </row>
    <row r="113" spans="1:14" x14ac:dyDescent="0.3">
      <c r="A113" t="s">
        <v>159</v>
      </c>
      <c r="B113" s="2" t="s">
        <v>156</v>
      </c>
      <c r="C113" s="2" t="str">
        <f t="shared" si="4"/>
        <v>Jan-2024</v>
      </c>
      <c r="D113" t="s">
        <v>12</v>
      </c>
      <c r="E113" t="s">
        <v>13</v>
      </c>
      <c r="F113" t="s">
        <v>24</v>
      </c>
      <c r="G113">
        <v>1059</v>
      </c>
      <c r="H113">
        <v>221</v>
      </c>
      <c r="I113">
        <v>167</v>
      </c>
      <c r="J113">
        <v>77</v>
      </c>
      <c r="K113">
        <v>1099483</v>
      </c>
      <c r="L113" s="1">
        <f t="shared" si="5"/>
        <v>0.20868744098205855</v>
      </c>
      <c r="M113" s="1">
        <f t="shared" si="6"/>
        <v>0.75565610859728505</v>
      </c>
      <c r="N113" s="1">
        <f t="shared" si="7"/>
        <v>0.46107784431137727</v>
      </c>
    </row>
    <row r="114" spans="1:14" x14ac:dyDescent="0.3">
      <c r="A114" t="s">
        <v>160</v>
      </c>
      <c r="B114" s="2" t="s">
        <v>161</v>
      </c>
      <c r="C114" s="2" t="str">
        <f t="shared" si="4"/>
        <v>Jan-2024</v>
      </c>
      <c r="D114" t="s">
        <v>16</v>
      </c>
      <c r="E114" t="s">
        <v>17</v>
      </c>
      <c r="F114" t="s">
        <v>14</v>
      </c>
      <c r="G114">
        <v>1197</v>
      </c>
      <c r="H114">
        <v>143</v>
      </c>
      <c r="I114">
        <v>102</v>
      </c>
      <c r="J114">
        <v>44</v>
      </c>
      <c r="K114">
        <v>473704</v>
      </c>
      <c r="L114" s="1">
        <f t="shared" si="5"/>
        <v>0.11946532999164577</v>
      </c>
      <c r="M114" s="1">
        <f t="shared" si="6"/>
        <v>0.71328671328671334</v>
      </c>
      <c r="N114" s="1">
        <f t="shared" si="7"/>
        <v>0.43137254901960786</v>
      </c>
    </row>
    <row r="115" spans="1:14" x14ac:dyDescent="0.3">
      <c r="A115" t="s">
        <v>162</v>
      </c>
      <c r="B115" s="2" t="s">
        <v>161</v>
      </c>
      <c r="C115" s="2" t="str">
        <f t="shared" si="4"/>
        <v>Jan-2024</v>
      </c>
      <c r="D115" t="s">
        <v>20</v>
      </c>
      <c r="E115" t="s">
        <v>21</v>
      </c>
      <c r="F115" t="s">
        <v>18</v>
      </c>
      <c r="G115">
        <v>718</v>
      </c>
      <c r="H115">
        <v>105</v>
      </c>
      <c r="I115">
        <v>76</v>
      </c>
      <c r="J115">
        <v>20</v>
      </c>
      <c r="K115">
        <v>291840</v>
      </c>
      <c r="L115" s="1">
        <f t="shared" si="5"/>
        <v>0.14623955431754876</v>
      </c>
      <c r="M115" s="1">
        <f t="shared" si="6"/>
        <v>0.72380952380952379</v>
      </c>
      <c r="N115" s="1">
        <f t="shared" si="7"/>
        <v>0.26315789473684209</v>
      </c>
    </row>
    <row r="116" spans="1:14" x14ac:dyDescent="0.3">
      <c r="A116" t="s">
        <v>163</v>
      </c>
      <c r="B116" s="2" t="s">
        <v>161</v>
      </c>
      <c r="C116" s="2" t="str">
        <f t="shared" si="4"/>
        <v>Jan-2024</v>
      </c>
      <c r="D116" t="s">
        <v>12</v>
      </c>
      <c r="E116" t="s">
        <v>13</v>
      </c>
      <c r="F116" t="s">
        <v>22</v>
      </c>
      <c r="G116">
        <v>1193</v>
      </c>
      <c r="H116">
        <v>305</v>
      </c>
      <c r="I116">
        <v>134</v>
      </c>
      <c r="J116">
        <v>35</v>
      </c>
      <c r="K116">
        <v>322875</v>
      </c>
      <c r="L116" s="1">
        <f t="shared" si="5"/>
        <v>0.25565800502933783</v>
      </c>
      <c r="M116" s="1">
        <f t="shared" si="6"/>
        <v>0.43934426229508194</v>
      </c>
      <c r="N116" s="1">
        <f t="shared" si="7"/>
        <v>0.26119402985074625</v>
      </c>
    </row>
    <row r="117" spans="1:14" x14ac:dyDescent="0.3">
      <c r="A117" t="s">
        <v>164</v>
      </c>
      <c r="B117" s="2" t="s">
        <v>161</v>
      </c>
      <c r="C117" s="2" t="str">
        <f t="shared" si="4"/>
        <v>Jan-2024</v>
      </c>
      <c r="D117" t="s">
        <v>16</v>
      </c>
      <c r="E117" t="s">
        <v>17</v>
      </c>
      <c r="F117" t="s">
        <v>24</v>
      </c>
      <c r="G117">
        <v>1507</v>
      </c>
      <c r="H117">
        <v>224</v>
      </c>
      <c r="I117">
        <v>171</v>
      </c>
      <c r="J117">
        <v>38</v>
      </c>
      <c r="K117">
        <v>456950</v>
      </c>
      <c r="L117" s="1">
        <f t="shared" si="5"/>
        <v>0.14863968148639681</v>
      </c>
      <c r="M117" s="1">
        <f t="shared" si="6"/>
        <v>0.7633928571428571</v>
      </c>
      <c r="N117" s="1">
        <f t="shared" si="7"/>
        <v>0.22222222222222221</v>
      </c>
    </row>
    <row r="118" spans="1:14" x14ac:dyDescent="0.3">
      <c r="A118" t="s">
        <v>165</v>
      </c>
      <c r="B118" s="2" t="s">
        <v>166</v>
      </c>
      <c r="C118" s="2" t="str">
        <f t="shared" si="4"/>
        <v>Jan-2024</v>
      </c>
      <c r="D118" t="s">
        <v>20</v>
      </c>
      <c r="E118" t="s">
        <v>21</v>
      </c>
      <c r="F118" t="s">
        <v>14</v>
      </c>
      <c r="G118">
        <v>1136</v>
      </c>
      <c r="H118">
        <v>266</v>
      </c>
      <c r="I118">
        <v>110</v>
      </c>
      <c r="J118">
        <v>46</v>
      </c>
      <c r="K118">
        <v>652740</v>
      </c>
      <c r="L118" s="1">
        <f t="shared" si="5"/>
        <v>0.23415492957746478</v>
      </c>
      <c r="M118" s="1">
        <f t="shared" si="6"/>
        <v>0.41353383458646614</v>
      </c>
      <c r="N118" s="1">
        <f t="shared" si="7"/>
        <v>0.41818181818181815</v>
      </c>
    </row>
    <row r="119" spans="1:14" x14ac:dyDescent="0.3">
      <c r="A119" t="s">
        <v>167</v>
      </c>
      <c r="B119" s="2" t="s">
        <v>166</v>
      </c>
      <c r="C119" s="2" t="str">
        <f t="shared" si="4"/>
        <v>Jan-2024</v>
      </c>
      <c r="D119" t="s">
        <v>12</v>
      </c>
      <c r="E119" t="s">
        <v>13</v>
      </c>
      <c r="F119" t="s">
        <v>18</v>
      </c>
      <c r="G119">
        <v>1056</v>
      </c>
      <c r="H119">
        <v>155</v>
      </c>
      <c r="I119">
        <v>65</v>
      </c>
      <c r="J119">
        <v>30</v>
      </c>
      <c r="K119">
        <v>378840</v>
      </c>
      <c r="L119" s="1">
        <f t="shared" si="5"/>
        <v>0.14678030303030304</v>
      </c>
      <c r="M119" s="1">
        <f t="shared" si="6"/>
        <v>0.41935483870967744</v>
      </c>
      <c r="N119" s="1">
        <f t="shared" si="7"/>
        <v>0.46153846153846156</v>
      </c>
    </row>
    <row r="120" spans="1:14" x14ac:dyDescent="0.3">
      <c r="A120" t="s">
        <v>168</v>
      </c>
      <c r="B120" s="2" t="s">
        <v>166</v>
      </c>
      <c r="C120" s="2" t="str">
        <f t="shared" si="4"/>
        <v>Jan-2024</v>
      </c>
      <c r="D120" t="s">
        <v>16</v>
      </c>
      <c r="E120" t="s">
        <v>17</v>
      </c>
      <c r="F120" t="s">
        <v>22</v>
      </c>
      <c r="G120">
        <v>1376</v>
      </c>
      <c r="H120">
        <v>288</v>
      </c>
      <c r="I120">
        <v>170</v>
      </c>
      <c r="J120">
        <v>75</v>
      </c>
      <c r="K120">
        <v>952800</v>
      </c>
      <c r="L120" s="1">
        <f t="shared" si="5"/>
        <v>0.20930232558139536</v>
      </c>
      <c r="M120" s="1">
        <f t="shared" si="6"/>
        <v>0.59027777777777779</v>
      </c>
      <c r="N120" s="1">
        <f t="shared" si="7"/>
        <v>0.44117647058823528</v>
      </c>
    </row>
    <row r="121" spans="1:14" x14ac:dyDescent="0.3">
      <c r="A121" t="s">
        <v>169</v>
      </c>
      <c r="B121" s="2" t="s">
        <v>166</v>
      </c>
      <c r="C121" s="2" t="str">
        <f t="shared" si="4"/>
        <v>Jan-2024</v>
      </c>
      <c r="D121" t="s">
        <v>20</v>
      </c>
      <c r="E121" t="s">
        <v>21</v>
      </c>
      <c r="F121" t="s">
        <v>24</v>
      </c>
      <c r="G121">
        <v>1836</v>
      </c>
      <c r="H121">
        <v>201</v>
      </c>
      <c r="I121">
        <v>150</v>
      </c>
      <c r="J121">
        <v>74</v>
      </c>
      <c r="K121">
        <v>343064</v>
      </c>
      <c r="L121" s="1">
        <f t="shared" si="5"/>
        <v>0.10947712418300654</v>
      </c>
      <c r="M121" s="1">
        <f t="shared" si="6"/>
        <v>0.74626865671641796</v>
      </c>
      <c r="N121" s="1">
        <f t="shared" si="7"/>
        <v>0.49333333333333335</v>
      </c>
    </row>
    <row r="122" spans="1:14" x14ac:dyDescent="0.3">
      <c r="A122" t="s">
        <v>170</v>
      </c>
      <c r="B122" s="2" t="s">
        <v>171</v>
      </c>
      <c r="C122" s="2" t="str">
        <f t="shared" si="4"/>
        <v>Jan-2024</v>
      </c>
      <c r="D122" t="s">
        <v>12</v>
      </c>
      <c r="E122" t="s">
        <v>13</v>
      </c>
      <c r="F122" t="s">
        <v>14</v>
      </c>
      <c r="G122">
        <v>688</v>
      </c>
      <c r="H122">
        <v>137</v>
      </c>
      <c r="I122">
        <v>91</v>
      </c>
      <c r="J122">
        <v>39</v>
      </c>
      <c r="K122">
        <v>286104</v>
      </c>
      <c r="L122" s="1">
        <f t="shared" si="5"/>
        <v>0.19912790697674418</v>
      </c>
      <c r="M122" s="1">
        <f t="shared" si="6"/>
        <v>0.66423357664233573</v>
      </c>
      <c r="N122" s="1">
        <f t="shared" si="7"/>
        <v>0.42857142857142855</v>
      </c>
    </row>
    <row r="123" spans="1:14" x14ac:dyDescent="0.3">
      <c r="A123" t="s">
        <v>172</v>
      </c>
      <c r="B123" s="2" t="s">
        <v>171</v>
      </c>
      <c r="C123" s="2" t="str">
        <f t="shared" si="4"/>
        <v>Jan-2024</v>
      </c>
      <c r="D123" t="s">
        <v>16</v>
      </c>
      <c r="E123" t="s">
        <v>17</v>
      </c>
      <c r="F123" t="s">
        <v>18</v>
      </c>
      <c r="G123">
        <v>1458</v>
      </c>
      <c r="H123">
        <v>328</v>
      </c>
      <c r="I123">
        <v>153</v>
      </c>
      <c r="J123">
        <v>35</v>
      </c>
      <c r="K123">
        <v>314265</v>
      </c>
      <c r="L123" s="1">
        <f t="shared" si="5"/>
        <v>0.22496570644718794</v>
      </c>
      <c r="M123" s="1">
        <f t="shared" si="6"/>
        <v>0.46646341463414637</v>
      </c>
      <c r="N123" s="1">
        <f t="shared" si="7"/>
        <v>0.22875816993464052</v>
      </c>
    </row>
    <row r="124" spans="1:14" x14ac:dyDescent="0.3">
      <c r="A124" t="s">
        <v>173</v>
      </c>
      <c r="B124" s="2" t="s">
        <v>171</v>
      </c>
      <c r="C124" s="2" t="str">
        <f t="shared" si="4"/>
        <v>Jan-2024</v>
      </c>
      <c r="D124" t="s">
        <v>20</v>
      </c>
      <c r="E124" t="s">
        <v>21</v>
      </c>
      <c r="F124" t="s">
        <v>22</v>
      </c>
      <c r="G124">
        <v>958</v>
      </c>
      <c r="H124">
        <v>157</v>
      </c>
      <c r="I124">
        <v>114</v>
      </c>
      <c r="J124">
        <v>38</v>
      </c>
      <c r="K124">
        <v>531430</v>
      </c>
      <c r="L124" s="1">
        <f t="shared" si="5"/>
        <v>0.1638830897703549</v>
      </c>
      <c r="M124" s="1">
        <f t="shared" si="6"/>
        <v>0.72611464968152861</v>
      </c>
      <c r="N124" s="1">
        <f t="shared" si="7"/>
        <v>0.33333333333333331</v>
      </c>
    </row>
    <row r="125" spans="1:14" x14ac:dyDescent="0.3">
      <c r="A125" t="s">
        <v>174</v>
      </c>
      <c r="B125" s="2" t="s">
        <v>171</v>
      </c>
      <c r="C125" s="2" t="str">
        <f t="shared" si="4"/>
        <v>Jan-2024</v>
      </c>
      <c r="D125" t="s">
        <v>12</v>
      </c>
      <c r="E125" t="s">
        <v>13</v>
      </c>
      <c r="F125" t="s">
        <v>24</v>
      </c>
      <c r="G125">
        <v>1405</v>
      </c>
      <c r="H125">
        <v>167</v>
      </c>
      <c r="I125">
        <v>130</v>
      </c>
      <c r="J125">
        <v>38</v>
      </c>
      <c r="K125">
        <v>389462</v>
      </c>
      <c r="L125" s="1">
        <f t="shared" si="5"/>
        <v>0.11886120996441281</v>
      </c>
      <c r="M125" s="1">
        <f t="shared" si="6"/>
        <v>0.77844311377245512</v>
      </c>
      <c r="N125" s="1">
        <f t="shared" si="7"/>
        <v>0.29230769230769232</v>
      </c>
    </row>
    <row r="126" spans="1:14" x14ac:dyDescent="0.3">
      <c r="A126" t="s">
        <v>175</v>
      </c>
      <c r="B126" s="2" t="s">
        <v>176</v>
      </c>
      <c r="C126" s="2" t="str">
        <f t="shared" si="4"/>
        <v>Feb-2024</v>
      </c>
      <c r="D126" t="s">
        <v>16</v>
      </c>
      <c r="E126" t="s">
        <v>177</v>
      </c>
      <c r="F126" t="s">
        <v>14</v>
      </c>
      <c r="G126">
        <v>1955</v>
      </c>
      <c r="H126">
        <v>203</v>
      </c>
      <c r="I126">
        <v>97</v>
      </c>
      <c r="J126">
        <v>28</v>
      </c>
      <c r="K126">
        <v>154084</v>
      </c>
      <c r="L126" s="1">
        <f t="shared" si="5"/>
        <v>0.10383631713554987</v>
      </c>
      <c r="M126" s="1">
        <f t="shared" si="6"/>
        <v>0.47783251231527096</v>
      </c>
      <c r="N126" s="1">
        <f t="shared" si="7"/>
        <v>0.28865979381443296</v>
      </c>
    </row>
    <row r="127" spans="1:14" x14ac:dyDescent="0.3">
      <c r="A127" t="s">
        <v>178</v>
      </c>
      <c r="B127" s="2" t="s">
        <v>176</v>
      </c>
      <c r="C127" s="2" t="str">
        <f t="shared" si="4"/>
        <v>Feb-2024</v>
      </c>
      <c r="D127" t="s">
        <v>20</v>
      </c>
      <c r="E127" t="s">
        <v>179</v>
      </c>
      <c r="F127" t="s">
        <v>18</v>
      </c>
      <c r="G127">
        <v>1729</v>
      </c>
      <c r="H127">
        <v>224</v>
      </c>
      <c r="I127">
        <v>152</v>
      </c>
      <c r="J127">
        <v>64</v>
      </c>
      <c r="K127">
        <v>525056</v>
      </c>
      <c r="L127" s="1">
        <f t="shared" si="5"/>
        <v>0.12955465587044535</v>
      </c>
      <c r="M127" s="1">
        <f t="shared" si="6"/>
        <v>0.6785714285714286</v>
      </c>
      <c r="N127" s="1">
        <f t="shared" si="7"/>
        <v>0.42105263157894735</v>
      </c>
    </row>
    <row r="128" spans="1:14" x14ac:dyDescent="0.3">
      <c r="A128" t="s">
        <v>180</v>
      </c>
      <c r="B128" s="2" t="s">
        <v>176</v>
      </c>
      <c r="C128" s="2" t="str">
        <f t="shared" si="4"/>
        <v>Feb-2024</v>
      </c>
      <c r="D128" t="s">
        <v>12</v>
      </c>
      <c r="E128" t="s">
        <v>181</v>
      </c>
      <c r="F128" t="s">
        <v>22</v>
      </c>
      <c r="G128">
        <v>518</v>
      </c>
      <c r="H128">
        <v>77</v>
      </c>
      <c r="I128">
        <v>57</v>
      </c>
      <c r="J128">
        <v>12</v>
      </c>
      <c r="K128">
        <v>101508</v>
      </c>
      <c r="L128" s="1">
        <f t="shared" si="5"/>
        <v>0.14864864864864866</v>
      </c>
      <c r="M128" s="1">
        <f t="shared" si="6"/>
        <v>0.74025974025974028</v>
      </c>
      <c r="N128" s="1">
        <f t="shared" si="7"/>
        <v>0.21052631578947367</v>
      </c>
    </row>
    <row r="129" spans="1:14" x14ac:dyDescent="0.3">
      <c r="A129" t="s">
        <v>182</v>
      </c>
      <c r="B129" s="2" t="s">
        <v>176</v>
      </c>
      <c r="C129" s="2" t="str">
        <f t="shared" si="4"/>
        <v>Feb-2024</v>
      </c>
      <c r="D129" t="s">
        <v>16</v>
      </c>
      <c r="E129" t="s">
        <v>177</v>
      </c>
      <c r="F129" t="s">
        <v>24</v>
      </c>
      <c r="G129">
        <v>1194</v>
      </c>
      <c r="H129">
        <v>327</v>
      </c>
      <c r="I129">
        <v>135</v>
      </c>
      <c r="J129">
        <v>33</v>
      </c>
      <c r="K129">
        <v>468270</v>
      </c>
      <c r="L129" s="1">
        <f t="shared" si="5"/>
        <v>0.27386934673366836</v>
      </c>
      <c r="M129" s="1">
        <f t="shared" si="6"/>
        <v>0.41284403669724773</v>
      </c>
      <c r="N129" s="1">
        <f t="shared" si="7"/>
        <v>0.24444444444444444</v>
      </c>
    </row>
    <row r="130" spans="1:14" x14ac:dyDescent="0.3">
      <c r="A130" t="s">
        <v>183</v>
      </c>
      <c r="B130" s="2" t="s">
        <v>184</v>
      </c>
      <c r="C130" s="2" t="str">
        <f t="shared" si="4"/>
        <v>Feb-2024</v>
      </c>
      <c r="D130" t="s">
        <v>20</v>
      </c>
      <c r="E130" t="s">
        <v>179</v>
      </c>
      <c r="F130" t="s">
        <v>14</v>
      </c>
      <c r="G130">
        <v>514</v>
      </c>
      <c r="H130">
        <v>110</v>
      </c>
      <c r="I130">
        <v>61</v>
      </c>
      <c r="J130">
        <v>19</v>
      </c>
      <c r="K130">
        <v>80712</v>
      </c>
      <c r="L130" s="1">
        <f t="shared" si="5"/>
        <v>0.2140077821011673</v>
      </c>
      <c r="M130" s="1">
        <f t="shared" si="6"/>
        <v>0.55454545454545456</v>
      </c>
      <c r="N130" s="1">
        <f t="shared" si="7"/>
        <v>0.31147540983606559</v>
      </c>
    </row>
    <row r="131" spans="1:14" x14ac:dyDescent="0.3">
      <c r="A131" t="s">
        <v>185</v>
      </c>
      <c r="B131" s="2" t="s">
        <v>184</v>
      </c>
      <c r="C131" s="2" t="str">
        <f t="shared" ref="C131:C194" si="8">TEXT(B131,"MMM-YYYY")</f>
        <v>Feb-2024</v>
      </c>
      <c r="D131" t="s">
        <v>12</v>
      </c>
      <c r="E131" t="s">
        <v>181</v>
      </c>
      <c r="F131" t="s">
        <v>18</v>
      </c>
      <c r="G131">
        <v>1885</v>
      </c>
      <c r="H131">
        <v>379</v>
      </c>
      <c r="I131">
        <v>299</v>
      </c>
      <c r="J131">
        <v>65</v>
      </c>
      <c r="K131">
        <v>737100</v>
      </c>
      <c r="L131" s="1">
        <f t="shared" ref="L131:L194" si="9">H131/G131</f>
        <v>0.20106100795755968</v>
      </c>
      <c r="M131" s="1">
        <f t="shared" ref="M131:M194" si="10">I131/H131</f>
        <v>0.78891820580474936</v>
      </c>
      <c r="N131" s="1">
        <f t="shared" ref="N131:N194" si="11">J131/I131</f>
        <v>0.21739130434782608</v>
      </c>
    </row>
    <row r="132" spans="1:14" x14ac:dyDescent="0.3">
      <c r="A132" t="s">
        <v>186</v>
      </c>
      <c r="B132" s="2" t="s">
        <v>184</v>
      </c>
      <c r="C132" s="2" t="str">
        <f t="shared" si="8"/>
        <v>Feb-2024</v>
      </c>
      <c r="D132" t="s">
        <v>16</v>
      </c>
      <c r="E132" t="s">
        <v>177</v>
      </c>
      <c r="F132" t="s">
        <v>22</v>
      </c>
      <c r="G132">
        <v>1170</v>
      </c>
      <c r="H132">
        <v>341</v>
      </c>
      <c r="I132">
        <v>223</v>
      </c>
      <c r="J132">
        <v>92</v>
      </c>
      <c r="K132">
        <v>1314312</v>
      </c>
      <c r="L132" s="1">
        <f t="shared" si="9"/>
        <v>0.29145299145299147</v>
      </c>
      <c r="M132" s="1">
        <f t="shared" si="10"/>
        <v>0.6539589442815249</v>
      </c>
      <c r="N132" s="1">
        <f t="shared" si="11"/>
        <v>0.41255605381165922</v>
      </c>
    </row>
    <row r="133" spans="1:14" x14ac:dyDescent="0.3">
      <c r="A133" t="s">
        <v>187</v>
      </c>
      <c r="B133" s="2" t="s">
        <v>184</v>
      </c>
      <c r="C133" s="2" t="str">
        <f t="shared" si="8"/>
        <v>Feb-2024</v>
      </c>
      <c r="D133" t="s">
        <v>20</v>
      </c>
      <c r="E133" t="s">
        <v>179</v>
      </c>
      <c r="F133" t="s">
        <v>24</v>
      </c>
      <c r="G133">
        <v>1128</v>
      </c>
      <c r="H133">
        <v>244</v>
      </c>
      <c r="I133">
        <v>194</v>
      </c>
      <c r="J133">
        <v>71</v>
      </c>
      <c r="K133">
        <v>489474</v>
      </c>
      <c r="L133" s="1">
        <f t="shared" si="9"/>
        <v>0.21631205673758866</v>
      </c>
      <c r="M133" s="1">
        <f t="shared" si="10"/>
        <v>0.79508196721311475</v>
      </c>
      <c r="N133" s="1">
        <f t="shared" si="11"/>
        <v>0.36597938144329895</v>
      </c>
    </row>
    <row r="134" spans="1:14" x14ac:dyDescent="0.3">
      <c r="A134" t="s">
        <v>188</v>
      </c>
      <c r="B134" s="2" t="s">
        <v>189</v>
      </c>
      <c r="C134" s="2" t="str">
        <f t="shared" si="8"/>
        <v>Feb-2024</v>
      </c>
      <c r="D134" t="s">
        <v>12</v>
      </c>
      <c r="E134" t="s">
        <v>181</v>
      </c>
      <c r="F134" t="s">
        <v>14</v>
      </c>
      <c r="G134">
        <v>1731</v>
      </c>
      <c r="H134">
        <v>352</v>
      </c>
      <c r="I134">
        <v>249</v>
      </c>
      <c r="J134">
        <v>60</v>
      </c>
      <c r="K134">
        <v>248760</v>
      </c>
      <c r="L134" s="1">
        <f t="shared" si="9"/>
        <v>0.20335066435586366</v>
      </c>
      <c r="M134" s="1">
        <f t="shared" si="10"/>
        <v>0.70738636363636365</v>
      </c>
      <c r="N134" s="1">
        <f t="shared" si="11"/>
        <v>0.24096385542168675</v>
      </c>
    </row>
    <row r="135" spans="1:14" x14ac:dyDescent="0.3">
      <c r="A135" t="s">
        <v>190</v>
      </c>
      <c r="B135" s="2" t="s">
        <v>189</v>
      </c>
      <c r="C135" s="2" t="str">
        <f t="shared" si="8"/>
        <v>Feb-2024</v>
      </c>
      <c r="D135" t="s">
        <v>16</v>
      </c>
      <c r="E135" t="s">
        <v>177</v>
      </c>
      <c r="F135" t="s">
        <v>18</v>
      </c>
      <c r="G135">
        <v>1512</v>
      </c>
      <c r="H135">
        <v>409</v>
      </c>
      <c r="I135">
        <v>191</v>
      </c>
      <c r="J135">
        <v>70</v>
      </c>
      <c r="K135">
        <v>979790</v>
      </c>
      <c r="L135" s="1">
        <f t="shared" si="9"/>
        <v>0.27050264550264552</v>
      </c>
      <c r="M135" s="1">
        <f t="shared" si="10"/>
        <v>0.4669926650366748</v>
      </c>
      <c r="N135" s="1">
        <f t="shared" si="11"/>
        <v>0.36649214659685864</v>
      </c>
    </row>
    <row r="136" spans="1:14" x14ac:dyDescent="0.3">
      <c r="A136" t="s">
        <v>191</v>
      </c>
      <c r="B136" s="2" t="s">
        <v>189</v>
      </c>
      <c r="C136" s="2" t="str">
        <f t="shared" si="8"/>
        <v>Feb-2024</v>
      </c>
      <c r="D136" t="s">
        <v>20</v>
      </c>
      <c r="E136" t="s">
        <v>179</v>
      </c>
      <c r="F136" t="s">
        <v>22</v>
      </c>
      <c r="G136">
        <v>1876</v>
      </c>
      <c r="H136">
        <v>438</v>
      </c>
      <c r="I136">
        <v>186</v>
      </c>
      <c r="J136">
        <v>43</v>
      </c>
      <c r="K136">
        <v>371004</v>
      </c>
      <c r="L136" s="1">
        <f t="shared" si="9"/>
        <v>0.23347547974413646</v>
      </c>
      <c r="M136" s="1">
        <f t="shared" si="10"/>
        <v>0.42465753424657532</v>
      </c>
      <c r="N136" s="1">
        <f t="shared" si="11"/>
        <v>0.23118279569892472</v>
      </c>
    </row>
    <row r="137" spans="1:14" x14ac:dyDescent="0.3">
      <c r="A137" t="s">
        <v>192</v>
      </c>
      <c r="B137" s="2" t="s">
        <v>189</v>
      </c>
      <c r="C137" s="2" t="str">
        <f t="shared" si="8"/>
        <v>Feb-2024</v>
      </c>
      <c r="D137" t="s">
        <v>12</v>
      </c>
      <c r="E137" t="s">
        <v>181</v>
      </c>
      <c r="F137" t="s">
        <v>24</v>
      </c>
      <c r="G137">
        <v>558</v>
      </c>
      <c r="H137">
        <v>124</v>
      </c>
      <c r="I137">
        <v>57</v>
      </c>
      <c r="J137">
        <v>14</v>
      </c>
      <c r="K137">
        <v>136836</v>
      </c>
      <c r="L137" s="1">
        <f t="shared" si="9"/>
        <v>0.22222222222222221</v>
      </c>
      <c r="M137" s="1">
        <f t="shared" si="10"/>
        <v>0.45967741935483869</v>
      </c>
      <c r="N137" s="1">
        <f t="shared" si="11"/>
        <v>0.24561403508771928</v>
      </c>
    </row>
    <row r="138" spans="1:14" x14ac:dyDescent="0.3">
      <c r="A138" t="s">
        <v>193</v>
      </c>
      <c r="B138" s="2" t="s">
        <v>194</v>
      </c>
      <c r="C138" s="2" t="str">
        <f t="shared" si="8"/>
        <v>Feb-2024</v>
      </c>
      <c r="D138" t="s">
        <v>16</v>
      </c>
      <c r="E138" t="s">
        <v>177</v>
      </c>
      <c r="F138" t="s">
        <v>14</v>
      </c>
      <c r="G138">
        <v>1205</v>
      </c>
      <c r="H138">
        <v>266</v>
      </c>
      <c r="I138">
        <v>117</v>
      </c>
      <c r="J138">
        <v>41</v>
      </c>
      <c r="K138">
        <v>373797</v>
      </c>
      <c r="L138" s="1">
        <f t="shared" si="9"/>
        <v>0.22074688796680497</v>
      </c>
      <c r="M138" s="1">
        <f t="shared" si="10"/>
        <v>0.43984962406015038</v>
      </c>
      <c r="N138" s="1">
        <f t="shared" si="11"/>
        <v>0.3504273504273504</v>
      </c>
    </row>
    <row r="139" spans="1:14" x14ac:dyDescent="0.3">
      <c r="A139" t="s">
        <v>195</v>
      </c>
      <c r="B139" s="2" t="s">
        <v>194</v>
      </c>
      <c r="C139" s="2" t="str">
        <f t="shared" si="8"/>
        <v>Feb-2024</v>
      </c>
      <c r="D139" t="s">
        <v>20</v>
      </c>
      <c r="E139" t="s">
        <v>179</v>
      </c>
      <c r="F139" t="s">
        <v>18</v>
      </c>
      <c r="G139">
        <v>1710</v>
      </c>
      <c r="H139">
        <v>301</v>
      </c>
      <c r="I139">
        <v>189</v>
      </c>
      <c r="J139">
        <v>71</v>
      </c>
      <c r="K139">
        <v>605843</v>
      </c>
      <c r="L139" s="1">
        <f t="shared" si="9"/>
        <v>0.1760233918128655</v>
      </c>
      <c r="M139" s="1">
        <f t="shared" si="10"/>
        <v>0.62790697674418605</v>
      </c>
      <c r="N139" s="1">
        <f t="shared" si="11"/>
        <v>0.37566137566137564</v>
      </c>
    </row>
    <row r="140" spans="1:14" x14ac:dyDescent="0.3">
      <c r="A140" t="s">
        <v>196</v>
      </c>
      <c r="B140" s="2" t="s">
        <v>194</v>
      </c>
      <c r="C140" s="2" t="str">
        <f t="shared" si="8"/>
        <v>Feb-2024</v>
      </c>
      <c r="D140" t="s">
        <v>12</v>
      </c>
      <c r="E140" t="s">
        <v>181</v>
      </c>
      <c r="F140" t="s">
        <v>22</v>
      </c>
      <c r="G140">
        <v>664</v>
      </c>
      <c r="H140">
        <v>84</v>
      </c>
      <c r="I140">
        <v>63</v>
      </c>
      <c r="J140">
        <v>30</v>
      </c>
      <c r="K140">
        <v>139650</v>
      </c>
      <c r="L140" s="1">
        <f t="shared" si="9"/>
        <v>0.12650602409638553</v>
      </c>
      <c r="M140" s="1">
        <f t="shared" si="10"/>
        <v>0.75</v>
      </c>
      <c r="N140" s="1">
        <f t="shared" si="11"/>
        <v>0.47619047619047616</v>
      </c>
    </row>
    <row r="141" spans="1:14" x14ac:dyDescent="0.3">
      <c r="A141" t="s">
        <v>197</v>
      </c>
      <c r="B141" s="2" t="s">
        <v>194</v>
      </c>
      <c r="C141" s="2" t="str">
        <f t="shared" si="8"/>
        <v>Feb-2024</v>
      </c>
      <c r="D141" t="s">
        <v>16</v>
      </c>
      <c r="E141" t="s">
        <v>177</v>
      </c>
      <c r="F141" t="s">
        <v>24</v>
      </c>
      <c r="G141">
        <v>1896</v>
      </c>
      <c r="H141">
        <v>488</v>
      </c>
      <c r="I141">
        <v>295</v>
      </c>
      <c r="J141">
        <v>114</v>
      </c>
      <c r="K141">
        <v>495786</v>
      </c>
      <c r="L141" s="1">
        <f t="shared" si="9"/>
        <v>0.25738396624472576</v>
      </c>
      <c r="M141" s="1">
        <f t="shared" si="10"/>
        <v>0.60450819672131151</v>
      </c>
      <c r="N141" s="1">
        <f t="shared" si="11"/>
        <v>0.38644067796610171</v>
      </c>
    </row>
    <row r="142" spans="1:14" x14ac:dyDescent="0.3">
      <c r="A142" t="s">
        <v>198</v>
      </c>
      <c r="B142" s="2" t="s">
        <v>199</v>
      </c>
      <c r="C142" s="2" t="str">
        <f t="shared" si="8"/>
        <v>Feb-2024</v>
      </c>
      <c r="D142" t="s">
        <v>20</v>
      </c>
      <c r="E142" t="s">
        <v>179</v>
      </c>
      <c r="F142" t="s">
        <v>14</v>
      </c>
      <c r="G142">
        <v>1315</v>
      </c>
      <c r="H142">
        <v>248</v>
      </c>
      <c r="I142">
        <v>139</v>
      </c>
      <c r="J142">
        <v>58</v>
      </c>
      <c r="K142">
        <v>648904</v>
      </c>
      <c r="L142" s="1">
        <f t="shared" si="9"/>
        <v>0.18859315589353612</v>
      </c>
      <c r="M142" s="1">
        <f t="shared" si="10"/>
        <v>0.56048387096774188</v>
      </c>
      <c r="N142" s="1">
        <f t="shared" si="11"/>
        <v>0.41726618705035973</v>
      </c>
    </row>
    <row r="143" spans="1:14" x14ac:dyDescent="0.3">
      <c r="A143" t="s">
        <v>200</v>
      </c>
      <c r="B143" s="2" t="s">
        <v>199</v>
      </c>
      <c r="C143" s="2" t="str">
        <f t="shared" si="8"/>
        <v>Feb-2024</v>
      </c>
      <c r="D143" t="s">
        <v>12</v>
      </c>
      <c r="E143" t="s">
        <v>181</v>
      </c>
      <c r="F143" t="s">
        <v>18</v>
      </c>
      <c r="G143">
        <v>543</v>
      </c>
      <c r="H143">
        <v>65</v>
      </c>
      <c r="I143">
        <v>40</v>
      </c>
      <c r="J143">
        <v>15</v>
      </c>
      <c r="K143">
        <v>65490</v>
      </c>
      <c r="L143" s="1">
        <f t="shared" si="9"/>
        <v>0.11970534069981584</v>
      </c>
      <c r="M143" s="1">
        <f t="shared" si="10"/>
        <v>0.61538461538461542</v>
      </c>
      <c r="N143" s="1">
        <f t="shared" si="11"/>
        <v>0.375</v>
      </c>
    </row>
    <row r="144" spans="1:14" x14ac:dyDescent="0.3">
      <c r="A144" t="s">
        <v>201</v>
      </c>
      <c r="B144" s="2" t="s">
        <v>199</v>
      </c>
      <c r="C144" s="2" t="str">
        <f t="shared" si="8"/>
        <v>Feb-2024</v>
      </c>
      <c r="D144" t="s">
        <v>16</v>
      </c>
      <c r="E144" t="s">
        <v>177</v>
      </c>
      <c r="F144" t="s">
        <v>22</v>
      </c>
      <c r="G144">
        <v>1275</v>
      </c>
      <c r="H144">
        <v>300</v>
      </c>
      <c r="I144">
        <v>132</v>
      </c>
      <c r="J144">
        <v>35</v>
      </c>
      <c r="K144">
        <v>454930</v>
      </c>
      <c r="L144" s="1">
        <f t="shared" si="9"/>
        <v>0.23529411764705882</v>
      </c>
      <c r="M144" s="1">
        <f t="shared" si="10"/>
        <v>0.44</v>
      </c>
      <c r="N144" s="1">
        <f t="shared" si="11"/>
        <v>0.26515151515151514</v>
      </c>
    </row>
    <row r="145" spans="1:14" x14ac:dyDescent="0.3">
      <c r="A145" t="s">
        <v>202</v>
      </c>
      <c r="B145" s="2" t="s">
        <v>199</v>
      </c>
      <c r="C145" s="2" t="str">
        <f t="shared" si="8"/>
        <v>Feb-2024</v>
      </c>
      <c r="D145" t="s">
        <v>20</v>
      </c>
      <c r="E145" t="s">
        <v>179</v>
      </c>
      <c r="F145" t="s">
        <v>24</v>
      </c>
      <c r="G145">
        <v>1336</v>
      </c>
      <c r="H145">
        <v>234</v>
      </c>
      <c r="I145">
        <v>152</v>
      </c>
      <c r="J145">
        <v>42</v>
      </c>
      <c r="K145">
        <v>345618</v>
      </c>
      <c r="L145" s="1">
        <f t="shared" si="9"/>
        <v>0.17514970059880239</v>
      </c>
      <c r="M145" s="1">
        <f t="shared" si="10"/>
        <v>0.6495726495726496</v>
      </c>
      <c r="N145" s="1">
        <f t="shared" si="11"/>
        <v>0.27631578947368424</v>
      </c>
    </row>
    <row r="146" spans="1:14" x14ac:dyDescent="0.3">
      <c r="A146" t="s">
        <v>203</v>
      </c>
      <c r="B146" s="2" t="s">
        <v>204</v>
      </c>
      <c r="C146" s="2" t="str">
        <f t="shared" si="8"/>
        <v>Feb-2024</v>
      </c>
      <c r="D146" t="s">
        <v>12</v>
      </c>
      <c r="E146" t="s">
        <v>181</v>
      </c>
      <c r="F146" t="s">
        <v>14</v>
      </c>
      <c r="G146">
        <v>553</v>
      </c>
      <c r="H146">
        <v>85</v>
      </c>
      <c r="I146">
        <v>60</v>
      </c>
      <c r="J146">
        <v>21</v>
      </c>
      <c r="K146">
        <v>260295</v>
      </c>
      <c r="L146" s="1">
        <f t="shared" si="9"/>
        <v>0.15370705244122965</v>
      </c>
      <c r="M146" s="1">
        <f t="shared" si="10"/>
        <v>0.70588235294117652</v>
      </c>
      <c r="N146" s="1">
        <f t="shared" si="11"/>
        <v>0.35</v>
      </c>
    </row>
    <row r="147" spans="1:14" x14ac:dyDescent="0.3">
      <c r="A147" t="s">
        <v>205</v>
      </c>
      <c r="B147" s="2" t="s">
        <v>204</v>
      </c>
      <c r="C147" s="2" t="str">
        <f t="shared" si="8"/>
        <v>Feb-2024</v>
      </c>
      <c r="D147" t="s">
        <v>16</v>
      </c>
      <c r="E147" t="s">
        <v>177</v>
      </c>
      <c r="F147" t="s">
        <v>18</v>
      </c>
      <c r="G147">
        <v>825</v>
      </c>
      <c r="H147">
        <v>105</v>
      </c>
      <c r="I147">
        <v>55</v>
      </c>
      <c r="J147">
        <v>26</v>
      </c>
      <c r="K147">
        <v>183820</v>
      </c>
      <c r="L147" s="1">
        <f t="shared" si="9"/>
        <v>0.12727272727272726</v>
      </c>
      <c r="M147" s="1">
        <f t="shared" si="10"/>
        <v>0.52380952380952384</v>
      </c>
      <c r="N147" s="1">
        <f t="shared" si="11"/>
        <v>0.47272727272727272</v>
      </c>
    </row>
    <row r="148" spans="1:14" x14ac:dyDescent="0.3">
      <c r="A148" t="s">
        <v>206</v>
      </c>
      <c r="B148" s="2" t="s">
        <v>204</v>
      </c>
      <c r="C148" s="2" t="str">
        <f t="shared" si="8"/>
        <v>Feb-2024</v>
      </c>
      <c r="D148" t="s">
        <v>20</v>
      </c>
      <c r="E148" t="s">
        <v>179</v>
      </c>
      <c r="F148" t="s">
        <v>22</v>
      </c>
      <c r="G148">
        <v>1017</v>
      </c>
      <c r="H148">
        <v>278</v>
      </c>
      <c r="I148">
        <v>148</v>
      </c>
      <c r="J148">
        <v>42</v>
      </c>
      <c r="K148">
        <v>178416</v>
      </c>
      <c r="L148" s="1">
        <f t="shared" si="9"/>
        <v>0.27335299901671584</v>
      </c>
      <c r="M148" s="1">
        <f t="shared" si="10"/>
        <v>0.53237410071942448</v>
      </c>
      <c r="N148" s="1">
        <f t="shared" si="11"/>
        <v>0.28378378378378377</v>
      </c>
    </row>
    <row r="149" spans="1:14" x14ac:dyDescent="0.3">
      <c r="A149" t="s">
        <v>207</v>
      </c>
      <c r="B149" s="2" t="s">
        <v>204</v>
      </c>
      <c r="C149" s="2" t="str">
        <f t="shared" si="8"/>
        <v>Feb-2024</v>
      </c>
      <c r="D149" t="s">
        <v>12</v>
      </c>
      <c r="E149" t="s">
        <v>181</v>
      </c>
      <c r="F149" t="s">
        <v>24</v>
      </c>
      <c r="G149">
        <v>1742</v>
      </c>
      <c r="H149">
        <v>347</v>
      </c>
      <c r="I149">
        <v>219</v>
      </c>
      <c r="J149">
        <v>108</v>
      </c>
      <c r="K149">
        <v>1382292</v>
      </c>
      <c r="L149" s="1">
        <f t="shared" si="9"/>
        <v>0.19919632606199769</v>
      </c>
      <c r="M149" s="1">
        <f t="shared" si="10"/>
        <v>0.63112391930835732</v>
      </c>
      <c r="N149" s="1">
        <f t="shared" si="11"/>
        <v>0.49315068493150682</v>
      </c>
    </row>
    <row r="150" spans="1:14" x14ac:dyDescent="0.3">
      <c r="A150" t="s">
        <v>208</v>
      </c>
      <c r="B150" s="2" t="s">
        <v>209</v>
      </c>
      <c r="C150" s="2" t="str">
        <f t="shared" si="8"/>
        <v>Feb-2024</v>
      </c>
      <c r="D150" t="s">
        <v>16</v>
      </c>
      <c r="E150" t="s">
        <v>177</v>
      </c>
      <c r="F150" t="s">
        <v>14</v>
      </c>
      <c r="G150">
        <v>1136</v>
      </c>
      <c r="H150">
        <v>194</v>
      </c>
      <c r="I150">
        <v>84</v>
      </c>
      <c r="J150">
        <v>33</v>
      </c>
      <c r="K150">
        <v>310695</v>
      </c>
      <c r="L150" s="1">
        <f t="shared" si="9"/>
        <v>0.17077464788732394</v>
      </c>
      <c r="M150" s="1">
        <f t="shared" si="10"/>
        <v>0.4329896907216495</v>
      </c>
      <c r="N150" s="1">
        <f t="shared" si="11"/>
        <v>0.39285714285714285</v>
      </c>
    </row>
    <row r="151" spans="1:14" x14ac:dyDescent="0.3">
      <c r="A151" t="s">
        <v>210</v>
      </c>
      <c r="B151" s="2" t="s">
        <v>209</v>
      </c>
      <c r="C151" s="2" t="str">
        <f t="shared" si="8"/>
        <v>Feb-2024</v>
      </c>
      <c r="D151" t="s">
        <v>20</v>
      </c>
      <c r="E151" t="s">
        <v>179</v>
      </c>
      <c r="F151" t="s">
        <v>18</v>
      </c>
      <c r="G151">
        <v>1398</v>
      </c>
      <c r="H151">
        <v>210</v>
      </c>
      <c r="I151">
        <v>152</v>
      </c>
      <c r="J151">
        <v>42</v>
      </c>
      <c r="K151">
        <v>434406</v>
      </c>
      <c r="L151" s="1">
        <f t="shared" si="9"/>
        <v>0.15021459227467812</v>
      </c>
      <c r="M151" s="1">
        <f t="shared" si="10"/>
        <v>0.72380952380952379</v>
      </c>
      <c r="N151" s="1">
        <f t="shared" si="11"/>
        <v>0.27631578947368424</v>
      </c>
    </row>
    <row r="152" spans="1:14" x14ac:dyDescent="0.3">
      <c r="A152" t="s">
        <v>211</v>
      </c>
      <c r="B152" s="2" t="s">
        <v>209</v>
      </c>
      <c r="C152" s="2" t="str">
        <f t="shared" si="8"/>
        <v>Feb-2024</v>
      </c>
      <c r="D152" t="s">
        <v>12</v>
      </c>
      <c r="E152" t="s">
        <v>181</v>
      </c>
      <c r="F152" t="s">
        <v>22</v>
      </c>
      <c r="G152">
        <v>953</v>
      </c>
      <c r="H152">
        <v>107</v>
      </c>
      <c r="I152">
        <v>50</v>
      </c>
      <c r="J152">
        <v>14</v>
      </c>
      <c r="K152">
        <v>156100</v>
      </c>
      <c r="L152" s="1">
        <f t="shared" si="9"/>
        <v>0.11227701993704092</v>
      </c>
      <c r="M152" s="1">
        <f t="shared" si="10"/>
        <v>0.46728971962616822</v>
      </c>
      <c r="N152" s="1">
        <f t="shared" si="11"/>
        <v>0.28000000000000003</v>
      </c>
    </row>
    <row r="153" spans="1:14" x14ac:dyDescent="0.3">
      <c r="A153" t="s">
        <v>212</v>
      </c>
      <c r="B153" s="2" t="s">
        <v>209</v>
      </c>
      <c r="C153" s="2" t="str">
        <f t="shared" si="8"/>
        <v>Feb-2024</v>
      </c>
      <c r="D153" t="s">
        <v>16</v>
      </c>
      <c r="E153" t="s">
        <v>177</v>
      </c>
      <c r="F153" t="s">
        <v>24</v>
      </c>
      <c r="G153">
        <v>880</v>
      </c>
      <c r="H153">
        <v>166</v>
      </c>
      <c r="I153">
        <v>87</v>
      </c>
      <c r="J153">
        <v>38</v>
      </c>
      <c r="K153">
        <v>527934</v>
      </c>
      <c r="L153" s="1">
        <f t="shared" si="9"/>
        <v>0.18863636363636363</v>
      </c>
      <c r="M153" s="1">
        <f t="shared" si="10"/>
        <v>0.52409638554216864</v>
      </c>
      <c r="N153" s="1">
        <f t="shared" si="11"/>
        <v>0.43678160919540232</v>
      </c>
    </row>
    <row r="154" spans="1:14" x14ac:dyDescent="0.3">
      <c r="A154" t="s">
        <v>213</v>
      </c>
      <c r="B154" s="2" t="s">
        <v>214</v>
      </c>
      <c r="C154" s="2" t="str">
        <f t="shared" si="8"/>
        <v>Feb-2024</v>
      </c>
      <c r="D154" t="s">
        <v>20</v>
      </c>
      <c r="E154" t="s">
        <v>179</v>
      </c>
      <c r="F154" t="s">
        <v>14</v>
      </c>
      <c r="G154">
        <v>1387</v>
      </c>
      <c r="H154">
        <v>398</v>
      </c>
      <c r="I154">
        <v>231</v>
      </c>
      <c r="J154">
        <v>100</v>
      </c>
      <c r="K154">
        <v>519600</v>
      </c>
      <c r="L154" s="1">
        <f t="shared" si="9"/>
        <v>0.28695025234318672</v>
      </c>
      <c r="M154" s="1">
        <f t="shared" si="10"/>
        <v>0.58040201005025127</v>
      </c>
      <c r="N154" s="1">
        <f t="shared" si="11"/>
        <v>0.4329004329004329</v>
      </c>
    </row>
    <row r="155" spans="1:14" x14ac:dyDescent="0.3">
      <c r="A155" t="s">
        <v>215</v>
      </c>
      <c r="B155" s="2" t="s">
        <v>214</v>
      </c>
      <c r="C155" s="2" t="str">
        <f t="shared" si="8"/>
        <v>Feb-2024</v>
      </c>
      <c r="D155" t="s">
        <v>12</v>
      </c>
      <c r="E155" t="s">
        <v>181</v>
      </c>
      <c r="F155" t="s">
        <v>18</v>
      </c>
      <c r="G155">
        <v>1641</v>
      </c>
      <c r="H155">
        <v>425</v>
      </c>
      <c r="I155">
        <v>205</v>
      </c>
      <c r="J155">
        <v>46</v>
      </c>
      <c r="K155">
        <v>459494</v>
      </c>
      <c r="L155" s="1">
        <f t="shared" si="9"/>
        <v>0.25898842169408898</v>
      </c>
      <c r="M155" s="1">
        <f t="shared" si="10"/>
        <v>0.4823529411764706</v>
      </c>
      <c r="N155" s="1">
        <f t="shared" si="11"/>
        <v>0.22439024390243903</v>
      </c>
    </row>
    <row r="156" spans="1:14" x14ac:dyDescent="0.3">
      <c r="A156" t="s">
        <v>216</v>
      </c>
      <c r="B156" s="2" t="s">
        <v>214</v>
      </c>
      <c r="C156" s="2" t="str">
        <f t="shared" si="8"/>
        <v>Feb-2024</v>
      </c>
      <c r="D156" t="s">
        <v>16</v>
      </c>
      <c r="E156" t="s">
        <v>177</v>
      </c>
      <c r="F156" t="s">
        <v>22</v>
      </c>
      <c r="G156">
        <v>1598</v>
      </c>
      <c r="H156">
        <v>293</v>
      </c>
      <c r="I156">
        <v>140</v>
      </c>
      <c r="J156">
        <v>66</v>
      </c>
      <c r="K156">
        <v>660726</v>
      </c>
      <c r="L156" s="1">
        <f t="shared" si="9"/>
        <v>0.18335419274092615</v>
      </c>
      <c r="M156" s="1">
        <f t="shared" si="10"/>
        <v>0.47781569965870307</v>
      </c>
      <c r="N156" s="1">
        <f t="shared" si="11"/>
        <v>0.47142857142857142</v>
      </c>
    </row>
    <row r="157" spans="1:14" x14ac:dyDescent="0.3">
      <c r="A157" t="s">
        <v>217</v>
      </c>
      <c r="B157" s="2" t="s">
        <v>214</v>
      </c>
      <c r="C157" s="2" t="str">
        <f t="shared" si="8"/>
        <v>Feb-2024</v>
      </c>
      <c r="D157" t="s">
        <v>20</v>
      </c>
      <c r="E157" t="s">
        <v>179</v>
      </c>
      <c r="F157" t="s">
        <v>24</v>
      </c>
      <c r="G157">
        <v>505</v>
      </c>
      <c r="H157">
        <v>101</v>
      </c>
      <c r="I157">
        <v>50</v>
      </c>
      <c r="J157">
        <v>16</v>
      </c>
      <c r="K157">
        <v>182048</v>
      </c>
      <c r="L157" s="1">
        <f t="shared" si="9"/>
        <v>0.2</v>
      </c>
      <c r="M157" s="1">
        <f t="shared" si="10"/>
        <v>0.49504950495049505</v>
      </c>
      <c r="N157" s="1">
        <f t="shared" si="11"/>
        <v>0.32</v>
      </c>
    </row>
    <row r="158" spans="1:14" x14ac:dyDescent="0.3">
      <c r="A158" t="s">
        <v>218</v>
      </c>
      <c r="B158" s="2" t="s">
        <v>219</v>
      </c>
      <c r="C158" s="2" t="str">
        <f t="shared" si="8"/>
        <v>Feb-2024</v>
      </c>
      <c r="D158" t="s">
        <v>12</v>
      </c>
      <c r="E158" t="s">
        <v>181</v>
      </c>
      <c r="F158" t="s">
        <v>14</v>
      </c>
      <c r="G158">
        <v>1085</v>
      </c>
      <c r="H158">
        <v>207</v>
      </c>
      <c r="I158">
        <v>111</v>
      </c>
      <c r="J158">
        <v>27</v>
      </c>
      <c r="K158">
        <v>225045</v>
      </c>
      <c r="L158" s="1">
        <f t="shared" si="9"/>
        <v>0.19078341013824884</v>
      </c>
      <c r="M158" s="1">
        <f t="shared" si="10"/>
        <v>0.53623188405797106</v>
      </c>
      <c r="N158" s="1">
        <f t="shared" si="11"/>
        <v>0.24324324324324326</v>
      </c>
    </row>
    <row r="159" spans="1:14" x14ac:dyDescent="0.3">
      <c r="A159" t="s">
        <v>220</v>
      </c>
      <c r="B159" s="2" t="s">
        <v>219</v>
      </c>
      <c r="C159" s="2" t="str">
        <f t="shared" si="8"/>
        <v>Feb-2024</v>
      </c>
      <c r="D159" t="s">
        <v>16</v>
      </c>
      <c r="E159" t="s">
        <v>177</v>
      </c>
      <c r="F159" t="s">
        <v>18</v>
      </c>
      <c r="G159">
        <v>1552</v>
      </c>
      <c r="H159">
        <v>431</v>
      </c>
      <c r="I159">
        <v>291</v>
      </c>
      <c r="J159">
        <v>78</v>
      </c>
      <c r="K159">
        <v>433134</v>
      </c>
      <c r="L159" s="1">
        <f t="shared" si="9"/>
        <v>0.27770618556701032</v>
      </c>
      <c r="M159" s="1">
        <f t="shared" si="10"/>
        <v>0.67517401392111365</v>
      </c>
      <c r="N159" s="1">
        <f t="shared" si="11"/>
        <v>0.26804123711340205</v>
      </c>
    </row>
    <row r="160" spans="1:14" x14ac:dyDescent="0.3">
      <c r="A160" t="s">
        <v>221</v>
      </c>
      <c r="B160" s="2" t="s">
        <v>219</v>
      </c>
      <c r="C160" s="2" t="str">
        <f t="shared" si="8"/>
        <v>Feb-2024</v>
      </c>
      <c r="D160" t="s">
        <v>20</v>
      </c>
      <c r="E160" t="s">
        <v>179</v>
      </c>
      <c r="F160" t="s">
        <v>22</v>
      </c>
      <c r="G160">
        <v>844</v>
      </c>
      <c r="H160">
        <v>113</v>
      </c>
      <c r="I160">
        <v>59</v>
      </c>
      <c r="J160">
        <v>13</v>
      </c>
      <c r="K160">
        <v>101491</v>
      </c>
      <c r="L160" s="1">
        <f t="shared" si="9"/>
        <v>0.13388625592417061</v>
      </c>
      <c r="M160" s="1">
        <f t="shared" si="10"/>
        <v>0.52212389380530977</v>
      </c>
      <c r="N160" s="1">
        <f t="shared" si="11"/>
        <v>0.22033898305084745</v>
      </c>
    </row>
    <row r="161" spans="1:14" x14ac:dyDescent="0.3">
      <c r="A161" t="s">
        <v>222</v>
      </c>
      <c r="B161" s="2" t="s">
        <v>219</v>
      </c>
      <c r="C161" s="2" t="str">
        <f t="shared" si="8"/>
        <v>Feb-2024</v>
      </c>
      <c r="D161" t="s">
        <v>12</v>
      </c>
      <c r="E161" t="s">
        <v>181</v>
      </c>
      <c r="F161" t="s">
        <v>24</v>
      </c>
      <c r="G161">
        <v>1908</v>
      </c>
      <c r="H161">
        <v>271</v>
      </c>
      <c r="I161">
        <v>152</v>
      </c>
      <c r="J161">
        <v>54</v>
      </c>
      <c r="K161">
        <v>245538</v>
      </c>
      <c r="L161" s="1">
        <f t="shared" si="9"/>
        <v>0.14203354297693921</v>
      </c>
      <c r="M161" s="1">
        <f t="shared" si="10"/>
        <v>0.56088560885608851</v>
      </c>
      <c r="N161" s="1">
        <f t="shared" si="11"/>
        <v>0.35526315789473684</v>
      </c>
    </row>
    <row r="162" spans="1:14" x14ac:dyDescent="0.3">
      <c r="A162" t="s">
        <v>223</v>
      </c>
      <c r="B162" s="2" t="s">
        <v>224</v>
      </c>
      <c r="C162" s="2" t="str">
        <f t="shared" si="8"/>
        <v>Feb-2024</v>
      </c>
      <c r="D162" t="s">
        <v>16</v>
      </c>
      <c r="E162" t="s">
        <v>177</v>
      </c>
      <c r="F162" t="s">
        <v>14</v>
      </c>
      <c r="G162">
        <v>1957</v>
      </c>
      <c r="H162">
        <v>242</v>
      </c>
      <c r="I162">
        <v>116</v>
      </c>
      <c r="J162">
        <v>51</v>
      </c>
      <c r="K162">
        <v>272340</v>
      </c>
      <c r="L162" s="1">
        <f t="shared" si="9"/>
        <v>0.12365866121614716</v>
      </c>
      <c r="M162" s="1">
        <f t="shared" si="10"/>
        <v>0.47933884297520662</v>
      </c>
      <c r="N162" s="1">
        <f t="shared" si="11"/>
        <v>0.43965517241379309</v>
      </c>
    </row>
    <row r="163" spans="1:14" x14ac:dyDescent="0.3">
      <c r="A163" t="s">
        <v>225</v>
      </c>
      <c r="B163" s="2" t="s">
        <v>224</v>
      </c>
      <c r="C163" s="2" t="str">
        <f t="shared" si="8"/>
        <v>Feb-2024</v>
      </c>
      <c r="D163" t="s">
        <v>20</v>
      </c>
      <c r="E163" t="s">
        <v>179</v>
      </c>
      <c r="F163" t="s">
        <v>18</v>
      </c>
      <c r="G163">
        <v>1441</v>
      </c>
      <c r="H163">
        <v>421</v>
      </c>
      <c r="I163">
        <v>283</v>
      </c>
      <c r="J163">
        <v>78</v>
      </c>
      <c r="K163">
        <v>1102530</v>
      </c>
      <c r="L163" s="1">
        <f t="shared" si="9"/>
        <v>0.2921582234559334</v>
      </c>
      <c r="M163" s="1">
        <f t="shared" si="10"/>
        <v>0.67220902612826605</v>
      </c>
      <c r="N163" s="1">
        <f t="shared" si="11"/>
        <v>0.2756183745583039</v>
      </c>
    </row>
    <row r="164" spans="1:14" x14ac:dyDescent="0.3">
      <c r="A164" t="s">
        <v>226</v>
      </c>
      <c r="B164" s="2" t="s">
        <v>224</v>
      </c>
      <c r="C164" s="2" t="str">
        <f t="shared" si="8"/>
        <v>Feb-2024</v>
      </c>
      <c r="D164" t="s">
        <v>12</v>
      </c>
      <c r="E164" t="s">
        <v>181</v>
      </c>
      <c r="F164" t="s">
        <v>22</v>
      </c>
      <c r="G164">
        <v>1474</v>
      </c>
      <c r="H164">
        <v>238</v>
      </c>
      <c r="I164">
        <v>150</v>
      </c>
      <c r="J164">
        <v>59</v>
      </c>
      <c r="K164">
        <v>348454</v>
      </c>
      <c r="L164" s="1">
        <f t="shared" si="9"/>
        <v>0.16146540027137041</v>
      </c>
      <c r="M164" s="1">
        <f t="shared" si="10"/>
        <v>0.63025210084033612</v>
      </c>
      <c r="N164" s="1">
        <f t="shared" si="11"/>
        <v>0.39333333333333331</v>
      </c>
    </row>
    <row r="165" spans="1:14" x14ac:dyDescent="0.3">
      <c r="A165" t="s">
        <v>227</v>
      </c>
      <c r="B165" s="2" t="s">
        <v>224</v>
      </c>
      <c r="C165" s="2" t="str">
        <f t="shared" si="8"/>
        <v>Feb-2024</v>
      </c>
      <c r="D165" t="s">
        <v>16</v>
      </c>
      <c r="E165" t="s">
        <v>177</v>
      </c>
      <c r="F165" t="s">
        <v>24</v>
      </c>
      <c r="G165">
        <v>1606</v>
      </c>
      <c r="H165">
        <v>315</v>
      </c>
      <c r="I165">
        <v>188</v>
      </c>
      <c r="J165">
        <v>84</v>
      </c>
      <c r="K165">
        <v>657300</v>
      </c>
      <c r="L165" s="1">
        <f t="shared" si="9"/>
        <v>0.19613947696139478</v>
      </c>
      <c r="M165" s="1">
        <f t="shared" si="10"/>
        <v>0.59682539682539681</v>
      </c>
      <c r="N165" s="1">
        <f t="shared" si="11"/>
        <v>0.44680851063829785</v>
      </c>
    </row>
    <row r="166" spans="1:14" x14ac:dyDescent="0.3">
      <c r="A166" t="s">
        <v>228</v>
      </c>
      <c r="B166" s="2" t="s">
        <v>229</v>
      </c>
      <c r="C166" s="2" t="str">
        <f t="shared" si="8"/>
        <v>Feb-2024</v>
      </c>
      <c r="D166" t="s">
        <v>20</v>
      </c>
      <c r="E166" t="s">
        <v>179</v>
      </c>
      <c r="F166" t="s">
        <v>14</v>
      </c>
      <c r="G166">
        <v>1340</v>
      </c>
      <c r="H166">
        <v>345</v>
      </c>
      <c r="I166">
        <v>159</v>
      </c>
      <c r="J166">
        <v>75</v>
      </c>
      <c r="K166">
        <v>787050</v>
      </c>
      <c r="L166" s="1">
        <f t="shared" si="9"/>
        <v>0.2574626865671642</v>
      </c>
      <c r="M166" s="1">
        <f t="shared" si="10"/>
        <v>0.46086956521739131</v>
      </c>
      <c r="N166" s="1">
        <f t="shared" si="11"/>
        <v>0.47169811320754718</v>
      </c>
    </row>
    <row r="167" spans="1:14" x14ac:dyDescent="0.3">
      <c r="A167" t="s">
        <v>230</v>
      </c>
      <c r="B167" s="2" t="s">
        <v>229</v>
      </c>
      <c r="C167" s="2" t="str">
        <f t="shared" si="8"/>
        <v>Feb-2024</v>
      </c>
      <c r="D167" t="s">
        <v>12</v>
      </c>
      <c r="E167" t="s">
        <v>181</v>
      </c>
      <c r="F167" t="s">
        <v>18</v>
      </c>
      <c r="G167">
        <v>1149</v>
      </c>
      <c r="H167">
        <v>241</v>
      </c>
      <c r="I167">
        <v>142</v>
      </c>
      <c r="J167">
        <v>68</v>
      </c>
      <c r="K167">
        <v>486472</v>
      </c>
      <c r="L167" s="1">
        <f t="shared" si="9"/>
        <v>0.20974760661444736</v>
      </c>
      <c r="M167" s="1">
        <f t="shared" si="10"/>
        <v>0.58921161825726143</v>
      </c>
      <c r="N167" s="1">
        <f t="shared" si="11"/>
        <v>0.47887323943661969</v>
      </c>
    </row>
    <row r="168" spans="1:14" x14ac:dyDescent="0.3">
      <c r="A168" t="s">
        <v>231</v>
      </c>
      <c r="B168" s="2" t="s">
        <v>229</v>
      </c>
      <c r="C168" s="2" t="str">
        <f t="shared" si="8"/>
        <v>Feb-2024</v>
      </c>
      <c r="D168" t="s">
        <v>16</v>
      </c>
      <c r="E168" t="s">
        <v>177</v>
      </c>
      <c r="F168" t="s">
        <v>22</v>
      </c>
      <c r="G168">
        <v>1206</v>
      </c>
      <c r="H168">
        <v>144</v>
      </c>
      <c r="I168">
        <v>60</v>
      </c>
      <c r="J168">
        <v>24</v>
      </c>
      <c r="K168">
        <v>281784</v>
      </c>
      <c r="L168" s="1">
        <f t="shared" si="9"/>
        <v>0.11940298507462686</v>
      </c>
      <c r="M168" s="1">
        <f t="shared" si="10"/>
        <v>0.41666666666666669</v>
      </c>
      <c r="N168" s="1">
        <f t="shared" si="11"/>
        <v>0.4</v>
      </c>
    </row>
    <row r="169" spans="1:14" x14ac:dyDescent="0.3">
      <c r="A169" t="s">
        <v>232</v>
      </c>
      <c r="B169" s="2" t="s">
        <v>229</v>
      </c>
      <c r="C169" s="2" t="str">
        <f t="shared" si="8"/>
        <v>Feb-2024</v>
      </c>
      <c r="D169" t="s">
        <v>20</v>
      </c>
      <c r="E169" t="s">
        <v>179</v>
      </c>
      <c r="F169" t="s">
        <v>24</v>
      </c>
      <c r="G169">
        <v>701</v>
      </c>
      <c r="H169">
        <v>100</v>
      </c>
      <c r="I169">
        <v>41</v>
      </c>
      <c r="J169">
        <v>16</v>
      </c>
      <c r="K169">
        <v>217008</v>
      </c>
      <c r="L169" s="1">
        <f t="shared" si="9"/>
        <v>0.14265335235378032</v>
      </c>
      <c r="M169" s="1">
        <f t="shared" si="10"/>
        <v>0.41</v>
      </c>
      <c r="N169" s="1">
        <f t="shared" si="11"/>
        <v>0.3902439024390244</v>
      </c>
    </row>
    <row r="170" spans="1:14" x14ac:dyDescent="0.3">
      <c r="A170" t="s">
        <v>233</v>
      </c>
      <c r="B170" s="2" t="s">
        <v>234</v>
      </c>
      <c r="C170" s="2" t="str">
        <f t="shared" si="8"/>
        <v>Feb-2024</v>
      </c>
      <c r="D170" t="s">
        <v>12</v>
      </c>
      <c r="E170" t="s">
        <v>181</v>
      </c>
      <c r="F170" t="s">
        <v>14</v>
      </c>
      <c r="G170">
        <v>787</v>
      </c>
      <c r="H170">
        <v>202</v>
      </c>
      <c r="I170">
        <v>160</v>
      </c>
      <c r="J170">
        <v>39</v>
      </c>
      <c r="K170">
        <v>526617</v>
      </c>
      <c r="L170" s="1">
        <f t="shared" si="9"/>
        <v>0.25667090216010163</v>
      </c>
      <c r="M170" s="1">
        <f t="shared" si="10"/>
        <v>0.79207920792079212</v>
      </c>
      <c r="N170" s="1">
        <f t="shared" si="11"/>
        <v>0.24374999999999999</v>
      </c>
    </row>
    <row r="171" spans="1:14" x14ac:dyDescent="0.3">
      <c r="A171" t="s">
        <v>235</v>
      </c>
      <c r="B171" s="2" t="s">
        <v>234</v>
      </c>
      <c r="C171" s="2" t="str">
        <f t="shared" si="8"/>
        <v>Feb-2024</v>
      </c>
      <c r="D171" t="s">
        <v>16</v>
      </c>
      <c r="E171" t="s">
        <v>177</v>
      </c>
      <c r="F171" t="s">
        <v>18</v>
      </c>
      <c r="G171">
        <v>1244</v>
      </c>
      <c r="H171">
        <v>290</v>
      </c>
      <c r="I171">
        <v>124</v>
      </c>
      <c r="J171">
        <v>50</v>
      </c>
      <c r="K171">
        <v>719200</v>
      </c>
      <c r="L171" s="1">
        <f t="shared" si="9"/>
        <v>0.23311897106109325</v>
      </c>
      <c r="M171" s="1">
        <f t="shared" si="10"/>
        <v>0.42758620689655175</v>
      </c>
      <c r="N171" s="1">
        <f t="shared" si="11"/>
        <v>0.40322580645161288</v>
      </c>
    </row>
    <row r="172" spans="1:14" x14ac:dyDescent="0.3">
      <c r="A172" t="s">
        <v>236</v>
      </c>
      <c r="B172" s="2" t="s">
        <v>234</v>
      </c>
      <c r="C172" s="2" t="str">
        <f t="shared" si="8"/>
        <v>Feb-2024</v>
      </c>
      <c r="D172" t="s">
        <v>20</v>
      </c>
      <c r="E172" t="s">
        <v>179</v>
      </c>
      <c r="F172" t="s">
        <v>22</v>
      </c>
      <c r="G172">
        <v>968</v>
      </c>
      <c r="H172">
        <v>240</v>
      </c>
      <c r="I172">
        <v>141</v>
      </c>
      <c r="J172">
        <v>64</v>
      </c>
      <c r="K172">
        <v>750976</v>
      </c>
      <c r="L172" s="1">
        <f t="shared" si="9"/>
        <v>0.24793388429752067</v>
      </c>
      <c r="M172" s="1">
        <f t="shared" si="10"/>
        <v>0.58750000000000002</v>
      </c>
      <c r="N172" s="1">
        <f t="shared" si="11"/>
        <v>0.45390070921985815</v>
      </c>
    </row>
    <row r="173" spans="1:14" x14ac:dyDescent="0.3">
      <c r="A173" t="s">
        <v>237</v>
      </c>
      <c r="B173" s="2" t="s">
        <v>234</v>
      </c>
      <c r="C173" s="2" t="str">
        <f t="shared" si="8"/>
        <v>Feb-2024</v>
      </c>
      <c r="D173" t="s">
        <v>12</v>
      </c>
      <c r="E173" t="s">
        <v>181</v>
      </c>
      <c r="F173" t="s">
        <v>24</v>
      </c>
      <c r="G173">
        <v>705</v>
      </c>
      <c r="H173">
        <v>109</v>
      </c>
      <c r="I173">
        <v>83</v>
      </c>
      <c r="J173">
        <v>21</v>
      </c>
      <c r="K173">
        <v>114597</v>
      </c>
      <c r="L173" s="1">
        <f t="shared" si="9"/>
        <v>0.15460992907801419</v>
      </c>
      <c r="M173" s="1">
        <f t="shared" si="10"/>
        <v>0.76146788990825687</v>
      </c>
      <c r="N173" s="1">
        <f t="shared" si="11"/>
        <v>0.25301204819277107</v>
      </c>
    </row>
    <row r="174" spans="1:14" x14ac:dyDescent="0.3">
      <c r="A174" t="s">
        <v>238</v>
      </c>
      <c r="B174" s="2" t="s">
        <v>239</v>
      </c>
      <c r="C174" s="2" t="str">
        <f t="shared" si="8"/>
        <v>Feb-2024</v>
      </c>
      <c r="D174" t="s">
        <v>16</v>
      </c>
      <c r="E174" t="s">
        <v>177</v>
      </c>
      <c r="F174" t="s">
        <v>14</v>
      </c>
      <c r="G174">
        <v>1425</v>
      </c>
      <c r="H174">
        <v>360</v>
      </c>
      <c r="I174">
        <v>168</v>
      </c>
      <c r="J174">
        <v>74</v>
      </c>
      <c r="K174">
        <v>1054056</v>
      </c>
      <c r="L174" s="1">
        <f t="shared" si="9"/>
        <v>0.25263157894736843</v>
      </c>
      <c r="M174" s="1">
        <f t="shared" si="10"/>
        <v>0.46666666666666667</v>
      </c>
      <c r="N174" s="1">
        <f t="shared" si="11"/>
        <v>0.44047619047619047</v>
      </c>
    </row>
    <row r="175" spans="1:14" x14ac:dyDescent="0.3">
      <c r="A175" t="s">
        <v>240</v>
      </c>
      <c r="B175" s="2" t="s">
        <v>239</v>
      </c>
      <c r="C175" s="2" t="str">
        <f t="shared" si="8"/>
        <v>Feb-2024</v>
      </c>
      <c r="D175" t="s">
        <v>20</v>
      </c>
      <c r="E175" t="s">
        <v>179</v>
      </c>
      <c r="F175" t="s">
        <v>18</v>
      </c>
      <c r="G175">
        <v>1436</v>
      </c>
      <c r="H175">
        <v>399</v>
      </c>
      <c r="I175">
        <v>166</v>
      </c>
      <c r="J175">
        <v>41</v>
      </c>
      <c r="K175">
        <v>263671</v>
      </c>
      <c r="L175" s="1">
        <f t="shared" si="9"/>
        <v>0.27785515320334264</v>
      </c>
      <c r="M175" s="1">
        <f t="shared" si="10"/>
        <v>0.41604010025062654</v>
      </c>
      <c r="N175" s="1">
        <f t="shared" si="11"/>
        <v>0.24698795180722891</v>
      </c>
    </row>
    <row r="176" spans="1:14" x14ac:dyDescent="0.3">
      <c r="A176" t="s">
        <v>241</v>
      </c>
      <c r="B176" s="2" t="s">
        <v>239</v>
      </c>
      <c r="C176" s="2" t="str">
        <f t="shared" si="8"/>
        <v>Feb-2024</v>
      </c>
      <c r="D176" t="s">
        <v>12</v>
      </c>
      <c r="E176" t="s">
        <v>181</v>
      </c>
      <c r="F176" t="s">
        <v>22</v>
      </c>
      <c r="G176">
        <v>1045</v>
      </c>
      <c r="H176">
        <v>179</v>
      </c>
      <c r="I176">
        <v>121</v>
      </c>
      <c r="J176">
        <v>34</v>
      </c>
      <c r="K176">
        <v>239700</v>
      </c>
      <c r="L176" s="1">
        <f t="shared" si="9"/>
        <v>0.17129186602870813</v>
      </c>
      <c r="M176" s="1">
        <f t="shared" si="10"/>
        <v>0.67597765363128492</v>
      </c>
      <c r="N176" s="1">
        <f t="shared" si="11"/>
        <v>0.28099173553719009</v>
      </c>
    </row>
    <row r="177" spans="1:14" x14ac:dyDescent="0.3">
      <c r="A177" t="s">
        <v>242</v>
      </c>
      <c r="B177" s="2" t="s">
        <v>239</v>
      </c>
      <c r="C177" s="2" t="str">
        <f t="shared" si="8"/>
        <v>Feb-2024</v>
      </c>
      <c r="D177" t="s">
        <v>16</v>
      </c>
      <c r="E177" t="s">
        <v>177</v>
      </c>
      <c r="F177" t="s">
        <v>24</v>
      </c>
      <c r="G177">
        <v>1431</v>
      </c>
      <c r="H177">
        <v>178</v>
      </c>
      <c r="I177">
        <v>113</v>
      </c>
      <c r="J177">
        <v>46</v>
      </c>
      <c r="K177">
        <v>337778</v>
      </c>
      <c r="L177" s="1">
        <f t="shared" si="9"/>
        <v>0.1243885394828791</v>
      </c>
      <c r="M177" s="1">
        <f t="shared" si="10"/>
        <v>0.6348314606741573</v>
      </c>
      <c r="N177" s="1">
        <f t="shared" si="11"/>
        <v>0.40707964601769914</v>
      </c>
    </row>
    <row r="178" spans="1:14" x14ac:dyDescent="0.3">
      <c r="A178" t="s">
        <v>243</v>
      </c>
      <c r="B178" s="2" t="s">
        <v>244</v>
      </c>
      <c r="C178" s="2" t="str">
        <f t="shared" si="8"/>
        <v>Feb-2024</v>
      </c>
      <c r="D178" t="s">
        <v>20</v>
      </c>
      <c r="E178" t="s">
        <v>179</v>
      </c>
      <c r="F178" t="s">
        <v>14</v>
      </c>
      <c r="G178">
        <v>1697</v>
      </c>
      <c r="H178">
        <v>185</v>
      </c>
      <c r="I178">
        <v>93</v>
      </c>
      <c r="J178">
        <v>40</v>
      </c>
      <c r="K178">
        <v>481920</v>
      </c>
      <c r="L178" s="1">
        <f t="shared" si="9"/>
        <v>0.10901591043017089</v>
      </c>
      <c r="M178" s="1">
        <f t="shared" si="10"/>
        <v>0.50270270270270268</v>
      </c>
      <c r="N178" s="1">
        <f t="shared" si="11"/>
        <v>0.43010752688172044</v>
      </c>
    </row>
    <row r="179" spans="1:14" x14ac:dyDescent="0.3">
      <c r="A179" t="s">
        <v>245</v>
      </c>
      <c r="B179" s="2" t="s">
        <v>244</v>
      </c>
      <c r="C179" s="2" t="str">
        <f t="shared" si="8"/>
        <v>Feb-2024</v>
      </c>
      <c r="D179" t="s">
        <v>12</v>
      </c>
      <c r="E179" t="s">
        <v>181</v>
      </c>
      <c r="F179" t="s">
        <v>18</v>
      </c>
      <c r="G179">
        <v>1915</v>
      </c>
      <c r="H179">
        <v>389</v>
      </c>
      <c r="I179">
        <v>199</v>
      </c>
      <c r="J179">
        <v>93</v>
      </c>
      <c r="K179">
        <v>886755</v>
      </c>
      <c r="L179" s="1">
        <f t="shared" si="9"/>
        <v>0.2031331592689295</v>
      </c>
      <c r="M179" s="1">
        <f t="shared" si="10"/>
        <v>0.51156812339331614</v>
      </c>
      <c r="N179" s="1">
        <f t="shared" si="11"/>
        <v>0.46733668341708545</v>
      </c>
    </row>
    <row r="180" spans="1:14" x14ac:dyDescent="0.3">
      <c r="A180" t="s">
        <v>246</v>
      </c>
      <c r="B180" s="2" t="s">
        <v>244</v>
      </c>
      <c r="C180" s="2" t="str">
        <f t="shared" si="8"/>
        <v>Feb-2024</v>
      </c>
      <c r="D180" t="s">
        <v>16</v>
      </c>
      <c r="E180" t="s">
        <v>177</v>
      </c>
      <c r="F180" t="s">
        <v>22</v>
      </c>
      <c r="G180">
        <v>1089</v>
      </c>
      <c r="H180">
        <v>200</v>
      </c>
      <c r="I180">
        <v>91</v>
      </c>
      <c r="J180">
        <v>25</v>
      </c>
      <c r="K180">
        <v>199850</v>
      </c>
      <c r="L180" s="1">
        <f t="shared" si="9"/>
        <v>0.18365472910927455</v>
      </c>
      <c r="M180" s="1">
        <f t="shared" si="10"/>
        <v>0.45500000000000002</v>
      </c>
      <c r="N180" s="1">
        <f t="shared" si="11"/>
        <v>0.27472527472527475</v>
      </c>
    </row>
    <row r="181" spans="1:14" x14ac:dyDescent="0.3">
      <c r="A181" t="s">
        <v>247</v>
      </c>
      <c r="B181" s="2" t="s">
        <v>244</v>
      </c>
      <c r="C181" s="2" t="str">
        <f t="shared" si="8"/>
        <v>Feb-2024</v>
      </c>
      <c r="D181" t="s">
        <v>20</v>
      </c>
      <c r="E181" t="s">
        <v>179</v>
      </c>
      <c r="F181" t="s">
        <v>24</v>
      </c>
      <c r="G181">
        <v>746</v>
      </c>
      <c r="H181">
        <v>202</v>
      </c>
      <c r="I181">
        <v>86</v>
      </c>
      <c r="J181">
        <v>38</v>
      </c>
      <c r="K181">
        <v>495976</v>
      </c>
      <c r="L181" s="1">
        <f t="shared" si="9"/>
        <v>0.27077747989276141</v>
      </c>
      <c r="M181" s="1">
        <f t="shared" si="10"/>
        <v>0.42574257425742573</v>
      </c>
      <c r="N181" s="1">
        <f t="shared" si="11"/>
        <v>0.44186046511627908</v>
      </c>
    </row>
    <row r="182" spans="1:14" x14ac:dyDescent="0.3">
      <c r="A182" t="s">
        <v>248</v>
      </c>
      <c r="B182" s="2" t="s">
        <v>249</v>
      </c>
      <c r="C182" s="2" t="str">
        <f t="shared" si="8"/>
        <v>Feb-2024</v>
      </c>
      <c r="D182" t="s">
        <v>12</v>
      </c>
      <c r="E182" t="s">
        <v>181</v>
      </c>
      <c r="F182" t="s">
        <v>14</v>
      </c>
      <c r="G182">
        <v>965</v>
      </c>
      <c r="H182">
        <v>101</v>
      </c>
      <c r="I182">
        <v>51</v>
      </c>
      <c r="J182">
        <v>20</v>
      </c>
      <c r="K182">
        <v>100580</v>
      </c>
      <c r="L182" s="1">
        <f t="shared" si="9"/>
        <v>0.10466321243523316</v>
      </c>
      <c r="M182" s="1">
        <f t="shared" si="10"/>
        <v>0.50495049504950495</v>
      </c>
      <c r="N182" s="1">
        <f t="shared" si="11"/>
        <v>0.39215686274509803</v>
      </c>
    </row>
    <row r="183" spans="1:14" x14ac:dyDescent="0.3">
      <c r="A183" t="s">
        <v>250</v>
      </c>
      <c r="B183" s="2" t="s">
        <v>249</v>
      </c>
      <c r="C183" s="2" t="str">
        <f t="shared" si="8"/>
        <v>Feb-2024</v>
      </c>
      <c r="D183" t="s">
        <v>16</v>
      </c>
      <c r="E183" t="s">
        <v>177</v>
      </c>
      <c r="F183" t="s">
        <v>18</v>
      </c>
      <c r="G183">
        <v>644</v>
      </c>
      <c r="H183">
        <v>73</v>
      </c>
      <c r="I183">
        <v>45</v>
      </c>
      <c r="J183">
        <v>21</v>
      </c>
      <c r="K183">
        <v>107667</v>
      </c>
      <c r="L183" s="1">
        <f t="shared" si="9"/>
        <v>0.11335403726708075</v>
      </c>
      <c r="M183" s="1">
        <f t="shared" si="10"/>
        <v>0.61643835616438358</v>
      </c>
      <c r="N183" s="1">
        <f t="shared" si="11"/>
        <v>0.46666666666666667</v>
      </c>
    </row>
    <row r="184" spans="1:14" x14ac:dyDescent="0.3">
      <c r="A184" t="s">
        <v>251</v>
      </c>
      <c r="B184" s="2" t="s">
        <v>249</v>
      </c>
      <c r="C184" s="2" t="str">
        <f t="shared" si="8"/>
        <v>Feb-2024</v>
      </c>
      <c r="D184" t="s">
        <v>20</v>
      </c>
      <c r="E184" t="s">
        <v>179</v>
      </c>
      <c r="F184" t="s">
        <v>22</v>
      </c>
      <c r="G184">
        <v>1104</v>
      </c>
      <c r="H184">
        <v>303</v>
      </c>
      <c r="I184">
        <v>181</v>
      </c>
      <c r="J184">
        <v>65</v>
      </c>
      <c r="K184">
        <v>325130</v>
      </c>
      <c r="L184" s="1">
        <f t="shared" si="9"/>
        <v>0.27445652173913043</v>
      </c>
      <c r="M184" s="1">
        <f t="shared" si="10"/>
        <v>0.59735973597359737</v>
      </c>
      <c r="N184" s="1">
        <f t="shared" si="11"/>
        <v>0.35911602209944754</v>
      </c>
    </row>
    <row r="185" spans="1:14" x14ac:dyDescent="0.3">
      <c r="A185" t="s">
        <v>252</v>
      </c>
      <c r="B185" s="2" t="s">
        <v>249</v>
      </c>
      <c r="C185" s="2" t="str">
        <f t="shared" si="8"/>
        <v>Feb-2024</v>
      </c>
      <c r="D185" t="s">
        <v>12</v>
      </c>
      <c r="E185" t="s">
        <v>181</v>
      </c>
      <c r="F185" t="s">
        <v>24</v>
      </c>
      <c r="G185">
        <v>953</v>
      </c>
      <c r="H185">
        <v>97</v>
      </c>
      <c r="I185">
        <v>46</v>
      </c>
      <c r="J185">
        <v>19</v>
      </c>
      <c r="K185">
        <v>143431</v>
      </c>
      <c r="L185" s="1">
        <f t="shared" si="9"/>
        <v>0.10178384050367262</v>
      </c>
      <c r="M185" s="1">
        <f t="shared" si="10"/>
        <v>0.47422680412371132</v>
      </c>
      <c r="N185" s="1">
        <f t="shared" si="11"/>
        <v>0.41304347826086957</v>
      </c>
    </row>
    <row r="186" spans="1:14" x14ac:dyDescent="0.3">
      <c r="A186" t="s">
        <v>253</v>
      </c>
      <c r="B186" s="2" t="s">
        <v>254</v>
      </c>
      <c r="C186" s="2" t="str">
        <f t="shared" si="8"/>
        <v>Feb-2024</v>
      </c>
      <c r="D186" t="s">
        <v>16</v>
      </c>
      <c r="E186" t="s">
        <v>177</v>
      </c>
      <c r="F186" t="s">
        <v>14</v>
      </c>
      <c r="G186">
        <v>1344</v>
      </c>
      <c r="H186">
        <v>335</v>
      </c>
      <c r="I186">
        <v>170</v>
      </c>
      <c r="J186">
        <v>73</v>
      </c>
      <c r="K186">
        <v>440190</v>
      </c>
      <c r="L186" s="1">
        <f t="shared" si="9"/>
        <v>0.24925595238095238</v>
      </c>
      <c r="M186" s="1">
        <f t="shared" si="10"/>
        <v>0.5074626865671642</v>
      </c>
      <c r="N186" s="1">
        <f t="shared" si="11"/>
        <v>0.42941176470588233</v>
      </c>
    </row>
    <row r="187" spans="1:14" x14ac:dyDescent="0.3">
      <c r="A187" t="s">
        <v>255</v>
      </c>
      <c r="B187" s="2" t="s">
        <v>254</v>
      </c>
      <c r="C187" s="2" t="str">
        <f t="shared" si="8"/>
        <v>Feb-2024</v>
      </c>
      <c r="D187" t="s">
        <v>20</v>
      </c>
      <c r="E187" t="s">
        <v>179</v>
      </c>
      <c r="F187" t="s">
        <v>18</v>
      </c>
      <c r="G187">
        <v>1893</v>
      </c>
      <c r="H187">
        <v>507</v>
      </c>
      <c r="I187">
        <v>296</v>
      </c>
      <c r="J187">
        <v>60</v>
      </c>
      <c r="K187">
        <v>737520</v>
      </c>
      <c r="L187" s="1">
        <f t="shared" si="9"/>
        <v>0.26782884310618066</v>
      </c>
      <c r="M187" s="1">
        <f t="shared" si="10"/>
        <v>0.58382642998027612</v>
      </c>
      <c r="N187" s="1">
        <f t="shared" si="11"/>
        <v>0.20270270270270271</v>
      </c>
    </row>
    <row r="188" spans="1:14" x14ac:dyDescent="0.3">
      <c r="A188" t="s">
        <v>256</v>
      </c>
      <c r="B188" s="2" t="s">
        <v>254</v>
      </c>
      <c r="C188" s="2" t="str">
        <f t="shared" si="8"/>
        <v>Feb-2024</v>
      </c>
      <c r="D188" t="s">
        <v>12</v>
      </c>
      <c r="E188" t="s">
        <v>181</v>
      </c>
      <c r="F188" t="s">
        <v>22</v>
      </c>
      <c r="G188">
        <v>1873</v>
      </c>
      <c r="H188">
        <v>206</v>
      </c>
      <c r="I188">
        <v>135</v>
      </c>
      <c r="J188">
        <v>43</v>
      </c>
      <c r="K188">
        <v>518881</v>
      </c>
      <c r="L188" s="1">
        <f t="shared" si="9"/>
        <v>0.10998398291510945</v>
      </c>
      <c r="M188" s="1">
        <f t="shared" si="10"/>
        <v>0.65533980582524276</v>
      </c>
      <c r="N188" s="1">
        <f t="shared" si="11"/>
        <v>0.31851851851851853</v>
      </c>
    </row>
    <row r="189" spans="1:14" x14ac:dyDescent="0.3">
      <c r="A189" t="s">
        <v>257</v>
      </c>
      <c r="B189" s="2" t="s">
        <v>254</v>
      </c>
      <c r="C189" s="2" t="str">
        <f t="shared" si="8"/>
        <v>Feb-2024</v>
      </c>
      <c r="D189" t="s">
        <v>16</v>
      </c>
      <c r="E189" t="s">
        <v>177</v>
      </c>
      <c r="F189" t="s">
        <v>24</v>
      </c>
      <c r="G189">
        <v>902</v>
      </c>
      <c r="H189">
        <v>116</v>
      </c>
      <c r="I189">
        <v>74</v>
      </c>
      <c r="J189">
        <v>27</v>
      </c>
      <c r="K189">
        <v>346410</v>
      </c>
      <c r="L189" s="1">
        <f t="shared" si="9"/>
        <v>0.12860310421286031</v>
      </c>
      <c r="M189" s="1">
        <f t="shared" si="10"/>
        <v>0.63793103448275867</v>
      </c>
      <c r="N189" s="1">
        <f t="shared" si="11"/>
        <v>0.36486486486486486</v>
      </c>
    </row>
    <row r="190" spans="1:14" x14ac:dyDescent="0.3">
      <c r="A190" t="s">
        <v>258</v>
      </c>
      <c r="B190" s="2" t="s">
        <v>259</v>
      </c>
      <c r="C190" s="2" t="str">
        <f t="shared" si="8"/>
        <v>Feb-2024</v>
      </c>
      <c r="D190" t="s">
        <v>20</v>
      </c>
      <c r="E190" t="s">
        <v>179</v>
      </c>
      <c r="F190" t="s">
        <v>14</v>
      </c>
      <c r="G190">
        <v>1753</v>
      </c>
      <c r="H190">
        <v>278</v>
      </c>
      <c r="I190">
        <v>140</v>
      </c>
      <c r="J190">
        <v>68</v>
      </c>
      <c r="K190">
        <v>895900</v>
      </c>
      <c r="L190" s="1">
        <f t="shared" si="9"/>
        <v>0.15858528237307473</v>
      </c>
      <c r="M190" s="1">
        <f t="shared" si="10"/>
        <v>0.50359712230215825</v>
      </c>
      <c r="N190" s="1">
        <f t="shared" si="11"/>
        <v>0.48571428571428571</v>
      </c>
    </row>
    <row r="191" spans="1:14" x14ac:dyDescent="0.3">
      <c r="A191" t="s">
        <v>260</v>
      </c>
      <c r="B191" s="2" t="s">
        <v>259</v>
      </c>
      <c r="C191" s="2" t="str">
        <f t="shared" si="8"/>
        <v>Feb-2024</v>
      </c>
      <c r="D191" t="s">
        <v>12</v>
      </c>
      <c r="E191" t="s">
        <v>181</v>
      </c>
      <c r="F191" t="s">
        <v>18</v>
      </c>
      <c r="G191">
        <v>791</v>
      </c>
      <c r="H191">
        <v>111</v>
      </c>
      <c r="I191">
        <v>51</v>
      </c>
      <c r="J191">
        <v>14</v>
      </c>
      <c r="K191">
        <v>91364</v>
      </c>
      <c r="L191" s="1">
        <f t="shared" si="9"/>
        <v>0.14032869785082175</v>
      </c>
      <c r="M191" s="1">
        <f t="shared" si="10"/>
        <v>0.45945945945945948</v>
      </c>
      <c r="N191" s="1">
        <f t="shared" si="11"/>
        <v>0.27450980392156865</v>
      </c>
    </row>
    <row r="192" spans="1:14" x14ac:dyDescent="0.3">
      <c r="A192" t="s">
        <v>261</v>
      </c>
      <c r="B192" s="2" t="s">
        <v>259</v>
      </c>
      <c r="C192" s="2" t="str">
        <f t="shared" si="8"/>
        <v>Feb-2024</v>
      </c>
      <c r="D192" t="s">
        <v>16</v>
      </c>
      <c r="E192" t="s">
        <v>177</v>
      </c>
      <c r="F192" t="s">
        <v>22</v>
      </c>
      <c r="G192">
        <v>1927</v>
      </c>
      <c r="H192">
        <v>224</v>
      </c>
      <c r="I192">
        <v>143</v>
      </c>
      <c r="J192">
        <v>70</v>
      </c>
      <c r="K192">
        <v>582260</v>
      </c>
      <c r="L192" s="1">
        <f t="shared" si="9"/>
        <v>0.11624286455630514</v>
      </c>
      <c r="M192" s="1">
        <f t="shared" si="10"/>
        <v>0.6383928571428571</v>
      </c>
      <c r="N192" s="1">
        <f t="shared" si="11"/>
        <v>0.48951048951048953</v>
      </c>
    </row>
    <row r="193" spans="1:14" x14ac:dyDescent="0.3">
      <c r="A193" t="s">
        <v>262</v>
      </c>
      <c r="B193" s="2" t="s">
        <v>259</v>
      </c>
      <c r="C193" s="2" t="str">
        <f t="shared" si="8"/>
        <v>Feb-2024</v>
      </c>
      <c r="D193" t="s">
        <v>20</v>
      </c>
      <c r="E193" t="s">
        <v>179</v>
      </c>
      <c r="F193" t="s">
        <v>24</v>
      </c>
      <c r="G193">
        <v>1441</v>
      </c>
      <c r="H193">
        <v>270</v>
      </c>
      <c r="I193">
        <v>151</v>
      </c>
      <c r="J193">
        <v>52</v>
      </c>
      <c r="K193">
        <v>508352</v>
      </c>
      <c r="L193" s="1">
        <f t="shared" si="9"/>
        <v>0.18736988202637059</v>
      </c>
      <c r="M193" s="1">
        <f t="shared" si="10"/>
        <v>0.55925925925925923</v>
      </c>
      <c r="N193" s="1">
        <f t="shared" si="11"/>
        <v>0.3443708609271523</v>
      </c>
    </row>
    <row r="194" spans="1:14" x14ac:dyDescent="0.3">
      <c r="A194" t="s">
        <v>263</v>
      </c>
      <c r="B194" s="2" t="s">
        <v>264</v>
      </c>
      <c r="C194" s="2" t="str">
        <f t="shared" si="8"/>
        <v>Feb-2024</v>
      </c>
      <c r="D194" t="s">
        <v>12</v>
      </c>
      <c r="E194" t="s">
        <v>181</v>
      </c>
      <c r="F194" t="s">
        <v>14</v>
      </c>
      <c r="G194">
        <v>1848</v>
      </c>
      <c r="H194">
        <v>323</v>
      </c>
      <c r="I194">
        <v>200</v>
      </c>
      <c r="J194">
        <v>53</v>
      </c>
      <c r="K194">
        <v>535459</v>
      </c>
      <c r="L194" s="1">
        <f t="shared" si="9"/>
        <v>0.17478354978354979</v>
      </c>
      <c r="M194" s="1">
        <f t="shared" si="10"/>
        <v>0.61919504643962853</v>
      </c>
      <c r="N194" s="1">
        <f t="shared" si="11"/>
        <v>0.26500000000000001</v>
      </c>
    </row>
    <row r="195" spans="1:14" x14ac:dyDescent="0.3">
      <c r="A195" t="s">
        <v>265</v>
      </c>
      <c r="B195" s="2" t="s">
        <v>264</v>
      </c>
      <c r="C195" s="2" t="str">
        <f t="shared" ref="C195:C258" si="12">TEXT(B195,"MMM-YYYY")</f>
        <v>Feb-2024</v>
      </c>
      <c r="D195" t="s">
        <v>16</v>
      </c>
      <c r="E195" t="s">
        <v>177</v>
      </c>
      <c r="F195" t="s">
        <v>18</v>
      </c>
      <c r="G195">
        <v>559</v>
      </c>
      <c r="H195">
        <v>97</v>
      </c>
      <c r="I195">
        <v>39</v>
      </c>
      <c r="J195">
        <v>8</v>
      </c>
      <c r="K195">
        <v>88912</v>
      </c>
      <c r="L195" s="1">
        <f t="shared" ref="L195:L258" si="13">H195/G195</f>
        <v>0.17352415026833631</v>
      </c>
      <c r="M195" s="1">
        <f t="shared" ref="M195:M258" si="14">I195/H195</f>
        <v>0.40206185567010311</v>
      </c>
      <c r="N195" s="1">
        <f t="shared" ref="N195:N258" si="15">J195/I195</f>
        <v>0.20512820512820512</v>
      </c>
    </row>
    <row r="196" spans="1:14" x14ac:dyDescent="0.3">
      <c r="A196" t="s">
        <v>266</v>
      </c>
      <c r="B196" s="2" t="s">
        <v>264</v>
      </c>
      <c r="C196" s="2" t="str">
        <f t="shared" si="12"/>
        <v>Feb-2024</v>
      </c>
      <c r="D196" t="s">
        <v>20</v>
      </c>
      <c r="E196" t="s">
        <v>179</v>
      </c>
      <c r="F196" t="s">
        <v>22</v>
      </c>
      <c r="G196">
        <v>1002</v>
      </c>
      <c r="H196">
        <v>170</v>
      </c>
      <c r="I196">
        <v>96</v>
      </c>
      <c r="J196">
        <v>43</v>
      </c>
      <c r="K196">
        <v>202616</v>
      </c>
      <c r="L196" s="1">
        <f t="shared" si="13"/>
        <v>0.16966067864271456</v>
      </c>
      <c r="M196" s="1">
        <f t="shared" si="14"/>
        <v>0.56470588235294117</v>
      </c>
      <c r="N196" s="1">
        <f t="shared" si="15"/>
        <v>0.44791666666666669</v>
      </c>
    </row>
    <row r="197" spans="1:14" x14ac:dyDescent="0.3">
      <c r="A197" t="s">
        <v>267</v>
      </c>
      <c r="B197" s="2" t="s">
        <v>264</v>
      </c>
      <c r="C197" s="2" t="str">
        <f t="shared" si="12"/>
        <v>Feb-2024</v>
      </c>
      <c r="D197" t="s">
        <v>12</v>
      </c>
      <c r="E197" t="s">
        <v>181</v>
      </c>
      <c r="F197" t="s">
        <v>24</v>
      </c>
      <c r="G197">
        <v>953</v>
      </c>
      <c r="H197">
        <v>242</v>
      </c>
      <c r="I197">
        <v>126</v>
      </c>
      <c r="J197">
        <v>30</v>
      </c>
      <c r="K197">
        <v>386760</v>
      </c>
      <c r="L197" s="1">
        <f t="shared" si="13"/>
        <v>0.25393494228751312</v>
      </c>
      <c r="M197" s="1">
        <f t="shared" si="14"/>
        <v>0.52066115702479343</v>
      </c>
      <c r="N197" s="1">
        <f t="shared" si="15"/>
        <v>0.23809523809523808</v>
      </c>
    </row>
    <row r="198" spans="1:14" x14ac:dyDescent="0.3">
      <c r="A198" t="s">
        <v>268</v>
      </c>
      <c r="B198" s="2" t="s">
        <v>269</v>
      </c>
      <c r="C198" s="2" t="str">
        <f t="shared" si="12"/>
        <v>Feb-2024</v>
      </c>
      <c r="D198" t="s">
        <v>16</v>
      </c>
      <c r="E198" t="s">
        <v>177</v>
      </c>
      <c r="F198" t="s">
        <v>14</v>
      </c>
      <c r="G198">
        <v>1672</v>
      </c>
      <c r="H198">
        <v>453</v>
      </c>
      <c r="I198">
        <v>202</v>
      </c>
      <c r="J198">
        <v>57</v>
      </c>
      <c r="K198">
        <v>422655</v>
      </c>
      <c r="L198" s="1">
        <f t="shared" si="13"/>
        <v>0.27093301435406697</v>
      </c>
      <c r="M198" s="1">
        <f t="shared" si="14"/>
        <v>0.44591611479028698</v>
      </c>
      <c r="N198" s="1">
        <f t="shared" si="15"/>
        <v>0.28217821782178215</v>
      </c>
    </row>
    <row r="199" spans="1:14" x14ac:dyDescent="0.3">
      <c r="A199" t="s">
        <v>270</v>
      </c>
      <c r="B199" s="2" t="s">
        <v>269</v>
      </c>
      <c r="C199" s="2" t="str">
        <f t="shared" si="12"/>
        <v>Feb-2024</v>
      </c>
      <c r="D199" t="s">
        <v>20</v>
      </c>
      <c r="E199" t="s">
        <v>179</v>
      </c>
      <c r="F199" t="s">
        <v>18</v>
      </c>
      <c r="G199">
        <v>1264</v>
      </c>
      <c r="H199">
        <v>220</v>
      </c>
      <c r="I199">
        <v>132</v>
      </c>
      <c r="J199">
        <v>43</v>
      </c>
      <c r="K199">
        <v>419723</v>
      </c>
      <c r="L199" s="1">
        <f t="shared" si="13"/>
        <v>0.17405063291139242</v>
      </c>
      <c r="M199" s="1">
        <f t="shared" si="14"/>
        <v>0.6</v>
      </c>
      <c r="N199" s="1">
        <f t="shared" si="15"/>
        <v>0.32575757575757575</v>
      </c>
    </row>
    <row r="200" spans="1:14" x14ac:dyDescent="0.3">
      <c r="A200" t="s">
        <v>271</v>
      </c>
      <c r="B200" s="2" t="s">
        <v>269</v>
      </c>
      <c r="C200" s="2" t="str">
        <f t="shared" si="12"/>
        <v>Feb-2024</v>
      </c>
      <c r="D200" t="s">
        <v>12</v>
      </c>
      <c r="E200" t="s">
        <v>181</v>
      </c>
      <c r="F200" t="s">
        <v>22</v>
      </c>
      <c r="G200">
        <v>642</v>
      </c>
      <c r="H200">
        <v>72</v>
      </c>
      <c r="I200">
        <v>48</v>
      </c>
      <c r="J200">
        <v>23</v>
      </c>
      <c r="K200">
        <v>290260</v>
      </c>
      <c r="L200" s="1">
        <f t="shared" si="13"/>
        <v>0.11214953271028037</v>
      </c>
      <c r="M200" s="1">
        <f t="shared" si="14"/>
        <v>0.66666666666666663</v>
      </c>
      <c r="N200" s="1">
        <f t="shared" si="15"/>
        <v>0.47916666666666669</v>
      </c>
    </row>
    <row r="201" spans="1:14" x14ac:dyDescent="0.3">
      <c r="A201" t="s">
        <v>272</v>
      </c>
      <c r="B201" s="2" t="s">
        <v>269</v>
      </c>
      <c r="C201" s="2" t="str">
        <f t="shared" si="12"/>
        <v>Feb-2024</v>
      </c>
      <c r="D201" t="s">
        <v>16</v>
      </c>
      <c r="E201" t="s">
        <v>177</v>
      </c>
      <c r="F201" t="s">
        <v>24</v>
      </c>
      <c r="G201">
        <v>1920</v>
      </c>
      <c r="H201">
        <v>395</v>
      </c>
      <c r="I201">
        <v>226</v>
      </c>
      <c r="J201">
        <v>97</v>
      </c>
      <c r="K201">
        <v>937020</v>
      </c>
      <c r="L201" s="1">
        <f t="shared" si="13"/>
        <v>0.20572916666666666</v>
      </c>
      <c r="M201" s="1">
        <f t="shared" si="14"/>
        <v>0.57215189873417727</v>
      </c>
      <c r="N201" s="1">
        <f t="shared" si="15"/>
        <v>0.42920353982300885</v>
      </c>
    </row>
    <row r="202" spans="1:14" x14ac:dyDescent="0.3">
      <c r="A202" t="s">
        <v>273</v>
      </c>
      <c r="B202" s="2" t="s">
        <v>274</v>
      </c>
      <c r="C202" s="2" t="str">
        <f t="shared" si="12"/>
        <v>Feb-2024</v>
      </c>
      <c r="D202" t="s">
        <v>20</v>
      </c>
      <c r="E202" t="s">
        <v>179</v>
      </c>
      <c r="F202" t="s">
        <v>14</v>
      </c>
      <c r="G202">
        <v>1722</v>
      </c>
      <c r="H202">
        <v>395</v>
      </c>
      <c r="I202">
        <v>307</v>
      </c>
      <c r="J202">
        <v>70</v>
      </c>
      <c r="K202">
        <v>645120</v>
      </c>
      <c r="L202" s="1">
        <f t="shared" si="13"/>
        <v>0.22938443670150988</v>
      </c>
      <c r="M202" s="1">
        <f t="shared" si="14"/>
        <v>0.77721518987341776</v>
      </c>
      <c r="N202" s="1">
        <f t="shared" si="15"/>
        <v>0.2280130293159609</v>
      </c>
    </row>
    <row r="203" spans="1:14" x14ac:dyDescent="0.3">
      <c r="A203" t="s">
        <v>275</v>
      </c>
      <c r="B203" s="2" t="s">
        <v>274</v>
      </c>
      <c r="C203" s="2" t="str">
        <f t="shared" si="12"/>
        <v>Feb-2024</v>
      </c>
      <c r="D203" t="s">
        <v>12</v>
      </c>
      <c r="E203" t="s">
        <v>181</v>
      </c>
      <c r="F203" t="s">
        <v>18</v>
      </c>
      <c r="G203">
        <v>1995</v>
      </c>
      <c r="H203">
        <v>459</v>
      </c>
      <c r="I203">
        <v>205</v>
      </c>
      <c r="J203">
        <v>95</v>
      </c>
      <c r="K203">
        <v>908770</v>
      </c>
      <c r="L203" s="1">
        <f t="shared" si="13"/>
        <v>0.23007518796992482</v>
      </c>
      <c r="M203" s="1">
        <f t="shared" si="14"/>
        <v>0.44662309368191722</v>
      </c>
      <c r="N203" s="1">
        <f t="shared" si="15"/>
        <v>0.46341463414634149</v>
      </c>
    </row>
    <row r="204" spans="1:14" x14ac:dyDescent="0.3">
      <c r="A204" t="s">
        <v>276</v>
      </c>
      <c r="B204" s="2" t="s">
        <v>274</v>
      </c>
      <c r="C204" s="2" t="str">
        <f t="shared" si="12"/>
        <v>Feb-2024</v>
      </c>
      <c r="D204" t="s">
        <v>16</v>
      </c>
      <c r="E204" t="s">
        <v>177</v>
      </c>
      <c r="F204" t="s">
        <v>22</v>
      </c>
      <c r="G204">
        <v>926</v>
      </c>
      <c r="H204">
        <v>201</v>
      </c>
      <c r="I204">
        <v>86</v>
      </c>
      <c r="J204">
        <v>26</v>
      </c>
      <c r="K204">
        <v>212264</v>
      </c>
      <c r="L204" s="1">
        <f t="shared" si="13"/>
        <v>0.21706263498920086</v>
      </c>
      <c r="M204" s="1">
        <f t="shared" si="14"/>
        <v>0.42786069651741293</v>
      </c>
      <c r="N204" s="1">
        <f t="shared" si="15"/>
        <v>0.30232558139534882</v>
      </c>
    </row>
    <row r="205" spans="1:14" x14ac:dyDescent="0.3">
      <c r="A205" t="s">
        <v>277</v>
      </c>
      <c r="B205" s="2" t="s">
        <v>274</v>
      </c>
      <c r="C205" s="2" t="str">
        <f t="shared" si="12"/>
        <v>Feb-2024</v>
      </c>
      <c r="D205" t="s">
        <v>20</v>
      </c>
      <c r="E205" t="s">
        <v>179</v>
      </c>
      <c r="F205" t="s">
        <v>24</v>
      </c>
      <c r="G205">
        <v>1179</v>
      </c>
      <c r="H205">
        <v>150</v>
      </c>
      <c r="I205">
        <v>88</v>
      </c>
      <c r="J205">
        <v>23</v>
      </c>
      <c r="K205">
        <v>216798</v>
      </c>
      <c r="L205" s="1">
        <f t="shared" si="13"/>
        <v>0.1272264631043257</v>
      </c>
      <c r="M205" s="1">
        <f t="shared" si="14"/>
        <v>0.58666666666666667</v>
      </c>
      <c r="N205" s="1">
        <f t="shared" si="15"/>
        <v>0.26136363636363635</v>
      </c>
    </row>
    <row r="206" spans="1:14" x14ac:dyDescent="0.3">
      <c r="A206" t="s">
        <v>278</v>
      </c>
      <c r="B206" s="2" t="s">
        <v>279</v>
      </c>
      <c r="C206" s="2" t="str">
        <f t="shared" si="12"/>
        <v>Feb-2024</v>
      </c>
      <c r="D206" t="s">
        <v>12</v>
      </c>
      <c r="E206" t="s">
        <v>181</v>
      </c>
      <c r="F206" t="s">
        <v>14</v>
      </c>
      <c r="G206">
        <v>996</v>
      </c>
      <c r="H206">
        <v>196</v>
      </c>
      <c r="I206">
        <v>147</v>
      </c>
      <c r="J206">
        <v>57</v>
      </c>
      <c r="K206">
        <v>330828</v>
      </c>
      <c r="L206" s="1">
        <f t="shared" si="13"/>
        <v>0.19678714859437751</v>
      </c>
      <c r="M206" s="1">
        <f t="shared" si="14"/>
        <v>0.75</v>
      </c>
      <c r="N206" s="1">
        <f t="shared" si="15"/>
        <v>0.38775510204081631</v>
      </c>
    </row>
    <row r="207" spans="1:14" x14ac:dyDescent="0.3">
      <c r="A207" t="s">
        <v>280</v>
      </c>
      <c r="B207" s="2" t="s">
        <v>279</v>
      </c>
      <c r="C207" s="2" t="str">
        <f t="shared" si="12"/>
        <v>Feb-2024</v>
      </c>
      <c r="D207" t="s">
        <v>16</v>
      </c>
      <c r="E207" t="s">
        <v>177</v>
      </c>
      <c r="F207" t="s">
        <v>18</v>
      </c>
      <c r="G207">
        <v>1903</v>
      </c>
      <c r="H207">
        <v>560</v>
      </c>
      <c r="I207">
        <v>277</v>
      </c>
      <c r="J207">
        <v>89</v>
      </c>
      <c r="K207">
        <v>1043347</v>
      </c>
      <c r="L207" s="1">
        <f t="shared" si="13"/>
        <v>0.29427220178665264</v>
      </c>
      <c r="M207" s="1">
        <f t="shared" si="14"/>
        <v>0.49464285714285716</v>
      </c>
      <c r="N207" s="1">
        <f t="shared" si="15"/>
        <v>0.32129963898916969</v>
      </c>
    </row>
    <row r="208" spans="1:14" x14ac:dyDescent="0.3">
      <c r="A208" t="s">
        <v>281</v>
      </c>
      <c r="B208" s="2" t="s">
        <v>279</v>
      </c>
      <c r="C208" s="2" t="str">
        <f t="shared" si="12"/>
        <v>Feb-2024</v>
      </c>
      <c r="D208" t="s">
        <v>20</v>
      </c>
      <c r="E208" t="s">
        <v>179</v>
      </c>
      <c r="F208" t="s">
        <v>22</v>
      </c>
      <c r="G208">
        <v>1407</v>
      </c>
      <c r="H208">
        <v>160</v>
      </c>
      <c r="I208">
        <v>118</v>
      </c>
      <c r="J208">
        <v>25</v>
      </c>
      <c r="K208">
        <v>307075</v>
      </c>
      <c r="L208" s="1">
        <f t="shared" si="13"/>
        <v>0.11371712864250177</v>
      </c>
      <c r="M208" s="1">
        <f t="shared" si="14"/>
        <v>0.73750000000000004</v>
      </c>
      <c r="N208" s="1">
        <f t="shared" si="15"/>
        <v>0.21186440677966101</v>
      </c>
    </row>
    <row r="209" spans="1:14" x14ac:dyDescent="0.3">
      <c r="A209" t="s">
        <v>282</v>
      </c>
      <c r="B209" s="2" t="s">
        <v>279</v>
      </c>
      <c r="C209" s="2" t="str">
        <f t="shared" si="12"/>
        <v>Feb-2024</v>
      </c>
      <c r="D209" t="s">
        <v>12</v>
      </c>
      <c r="E209" t="s">
        <v>181</v>
      </c>
      <c r="F209" t="s">
        <v>24</v>
      </c>
      <c r="G209">
        <v>676</v>
      </c>
      <c r="H209">
        <v>183</v>
      </c>
      <c r="I209">
        <v>128</v>
      </c>
      <c r="J209">
        <v>32</v>
      </c>
      <c r="K209">
        <v>173760</v>
      </c>
      <c r="L209" s="1">
        <f t="shared" si="13"/>
        <v>0.27071005917159763</v>
      </c>
      <c r="M209" s="1">
        <f t="shared" si="14"/>
        <v>0.69945355191256831</v>
      </c>
      <c r="N209" s="1">
        <f t="shared" si="15"/>
        <v>0.25</v>
      </c>
    </row>
    <row r="210" spans="1:14" x14ac:dyDescent="0.3">
      <c r="A210" t="s">
        <v>283</v>
      </c>
      <c r="B210" s="2" t="s">
        <v>284</v>
      </c>
      <c r="C210" s="2" t="str">
        <f t="shared" si="12"/>
        <v>Feb-2024</v>
      </c>
      <c r="D210" t="s">
        <v>16</v>
      </c>
      <c r="E210" t="s">
        <v>177</v>
      </c>
      <c r="F210" t="s">
        <v>14</v>
      </c>
      <c r="G210">
        <v>1578</v>
      </c>
      <c r="H210">
        <v>310</v>
      </c>
      <c r="I210">
        <v>238</v>
      </c>
      <c r="J210">
        <v>51</v>
      </c>
      <c r="K210">
        <v>764694</v>
      </c>
      <c r="L210" s="1">
        <f t="shared" si="13"/>
        <v>0.1964512040557668</v>
      </c>
      <c r="M210" s="1">
        <f t="shared" si="14"/>
        <v>0.76774193548387093</v>
      </c>
      <c r="N210" s="1">
        <f t="shared" si="15"/>
        <v>0.21428571428571427</v>
      </c>
    </row>
    <row r="211" spans="1:14" x14ac:dyDescent="0.3">
      <c r="A211" t="s">
        <v>285</v>
      </c>
      <c r="B211" s="2" t="s">
        <v>284</v>
      </c>
      <c r="C211" s="2" t="str">
        <f t="shared" si="12"/>
        <v>Feb-2024</v>
      </c>
      <c r="D211" t="s">
        <v>20</v>
      </c>
      <c r="E211" t="s">
        <v>179</v>
      </c>
      <c r="F211" t="s">
        <v>18</v>
      </c>
      <c r="G211">
        <v>1779</v>
      </c>
      <c r="H211">
        <v>397</v>
      </c>
      <c r="I211">
        <v>288</v>
      </c>
      <c r="J211">
        <v>61</v>
      </c>
      <c r="K211">
        <v>420656</v>
      </c>
      <c r="L211" s="1">
        <f t="shared" si="13"/>
        <v>0.22315907813378302</v>
      </c>
      <c r="M211" s="1">
        <f t="shared" si="14"/>
        <v>0.72544080604534</v>
      </c>
      <c r="N211" s="1">
        <f t="shared" si="15"/>
        <v>0.21180555555555555</v>
      </c>
    </row>
    <row r="212" spans="1:14" x14ac:dyDescent="0.3">
      <c r="A212" t="s">
        <v>286</v>
      </c>
      <c r="B212" s="2" t="s">
        <v>284</v>
      </c>
      <c r="C212" s="2" t="str">
        <f t="shared" si="12"/>
        <v>Feb-2024</v>
      </c>
      <c r="D212" t="s">
        <v>12</v>
      </c>
      <c r="E212" t="s">
        <v>181</v>
      </c>
      <c r="F212" t="s">
        <v>22</v>
      </c>
      <c r="G212">
        <v>1572</v>
      </c>
      <c r="H212">
        <v>464</v>
      </c>
      <c r="I212">
        <v>235</v>
      </c>
      <c r="J212">
        <v>96</v>
      </c>
      <c r="K212">
        <v>1355520</v>
      </c>
      <c r="L212" s="1">
        <f t="shared" si="13"/>
        <v>0.2951653944020356</v>
      </c>
      <c r="M212" s="1">
        <f t="shared" si="14"/>
        <v>0.50646551724137934</v>
      </c>
      <c r="N212" s="1">
        <f t="shared" si="15"/>
        <v>0.40851063829787232</v>
      </c>
    </row>
    <row r="213" spans="1:14" x14ac:dyDescent="0.3">
      <c r="A213" t="s">
        <v>287</v>
      </c>
      <c r="B213" s="2" t="s">
        <v>284</v>
      </c>
      <c r="C213" s="2" t="str">
        <f t="shared" si="12"/>
        <v>Feb-2024</v>
      </c>
      <c r="D213" t="s">
        <v>16</v>
      </c>
      <c r="E213" t="s">
        <v>177</v>
      </c>
      <c r="F213" t="s">
        <v>24</v>
      </c>
      <c r="G213">
        <v>1411</v>
      </c>
      <c r="H213">
        <v>418</v>
      </c>
      <c r="I213">
        <v>327</v>
      </c>
      <c r="J213">
        <v>135</v>
      </c>
      <c r="K213">
        <v>659205</v>
      </c>
      <c r="L213" s="1">
        <f t="shared" si="13"/>
        <v>0.296243798724309</v>
      </c>
      <c r="M213" s="1">
        <f t="shared" si="14"/>
        <v>0.78229665071770338</v>
      </c>
      <c r="N213" s="1">
        <f t="shared" si="15"/>
        <v>0.41284403669724773</v>
      </c>
    </row>
    <row r="214" spans="1:14" x14ac:dyDescent="0.3">
      <c r="A214" t="s">
        <v>288</v>
      </c>
      <c r="B214" s="2" t="s">
        <v>289</v>
      </c>
      <c r="C214" s="2" t="str">
        <f t="shared" si="12"/>
        <v>Feb-2024</v>
      </c>
      <c r="D214" t="s">
        <v>20</v>
      </c>
      <c r="E214" t="s">
        <v>179</v>
      </c>
      <c r="F214" t="s">
        <v>14</v>
      </c>
      <c r="G214">
        <v>1124</v>
      </c>
      <c r="H214">
        <v>120</v>
      </c>
      <c r="I214">
        <v>54</v>
      </c>
      <c r="J214">
        <v>19</v>
      </c>
      <c r="K214">
        <v>281599</v>
      </c>
      <c r="L214" s="1">
        <f t="shared" si="13"/>
        <v>0.10676156583629894</v>
      </c>
      <c r="M214" s="1">
        <f t="shared" si="14"/>
        <v>0.45</v>
      </c>
      <c r="N214" s="1">
        <f t="shared" si="15"/>
        <v>0.35185185185185186</v>
      </c>
    </row>
    <row r="215" spans="1:14" x14ac:dyDescent="0.3">
      <c r="A215" t="s">
        <v>290</v>
      </c>
      <c r="B215" s="2" t="s">
        <v>289</v>
      </c>
      <c r="C215" s="2" t="str">
        <f t="shared" si="12"/>
        <v>Feb-2024</v>
      </c>
      <c r="D215" t="s">
        <v>12</v>
      </c>
      <c r="E215" t="s">
        <v>181</v>
      </c>
      <c r="F215" t="s">
        <v>18</v>
      </c>
      <c r="G215">
        <v>823</v>
      </c>
      <c r="H215">
        <v>125</v>
      </c>
      <c r="I215">
        <v>59</v>
      </c>
      <c r="J215">
        <v>19</v>
      </c>
      <c r="K215">
        <v>198664</v>
      </c>
      <c r="L215" s="1">
        <f t="shared" si="13"/>
        <v>0.15188335358444716</v>
      </c>
      <c r="M215" s="1">
        <f t="shared" si="14"/>
        <v>0.47199999999999998</v>
      </c>
      <c r="N215" s="1">
        <f t="shared" si="15"/>
        <v>0.32203389830508472</v>
      </c>
    </row>
    <row r="216" spans="1:14" x14ac:dyDescent="0.3">
      <c r="A216" t="s">
        <v>291</v>
      </c>
      <c r="B216" s="2" t="s">
        <v>289</v>
      </c>
      <c r="C216" s="2" t="str">
        <f t="shared" si="12"/>
        <v>Feb-2024</v>
      </c>
      <c r="D216" t="s">
        <v>16</v>
      </c>
      <c r="E216" t="s">
        <v>177</v>
      </c>
      <c r="F216" t="s">
        <v>22</v>
      </c>
      <c r="G216">
        <v>1573</v>
      </c>
      <c r="H216">
        <v>200</v>
      </c>
      <c r="I216">
        <v>83</v>
      </c>
      <c r="J216">
        <v>32</v>
      </c>
      <c r="K216">
        <v>358528</v>
      </c>
      <c r="L216" s="1">
        <f t="shared" si="13"/>
        <v>0.12714558169103624</v>
      </c>
      <c r="M216" s="1">
        <f t="shared" si="14"/>
        <v>0.41499999999999998</v>
      </c>
      <c r="N216" s="1">
        <f t="shared" si="15"/>
        <v>0.38554216867469882</v>
      </c>
    </row>
    <row r="217" spans="1:14" x14ac:dyDescent="0.3">
      <c r="A217" t="s">
        <v>292</v>
      </c>
      <c r="B217" s="2" t="s">
        <v>289</v>
      </c>
      <c r="C217" s="2" t="str">
        <f t="shared" si="12"/>
        <v>Feb-2024</v>
      </c>
      <c r="D217" t="s">
        <v>20</v>
      </c>
      <c r="E217" t="s">
        <v>179</v>
      </c>
      <c r="F217" t="s">
        <v>24</v>
      </c>
      <c r="G217">
        <v>1779</v>
      </c>
      <c r="H217">
        <v>338</v>
      </c>
      <c r="I217">
        <v>235</v>
      </c>
      <c r="J217">
        <v>99</v>
      </c>
      <c r="K217">
        <v>968517</v>
      </c>
      <c r="L217" s="1">
        <f t="shared" si="13"/>
        <v>0.18999437886453063</v>
      </c>
      <c r="M217" s="1">
        <f t="shared" si="14"/>
        <v>0.69526627218934911</v>
      </c>
      <c r="N217" s="1">
        <f t="shared" si="15"/>
        <v>0.42127659574468085</v>
      </c>
    </row>
    <row r="218" spans="1:14" x14ac:dyDescent="0.3">
      <c r="A218" t="s">
        <v>293</v>
      </c>
      <c r="B218" s="2" t="s">
        <v>294</v>
      </c>
      <c r="C218" s="2" t="str">
        <f t="shared" si="12"/>
        <v>Feb-2024</v>
      </c>
      <c r="D218" t="s">
        <v>12</v>
      </c>
      <c r="E218" t="s">
        <v>181</v>
      </c>
      <c r="F218" t="s">
        <v>14</v>
      </c>
      <c r="G218">
        <v>1658</v>
      </c>
      <c r="H218">
        <v>335</v>
      </c>
      <c r="I218">
        <v>218</v>
      </c>
      <c r="J218">
        <v>99</v>
      </c>
      <c r="K218">
        <v>741510</v>
      </c>
      <c r="L218" s="1">
        <f t="shared" si="13"/>
        <v>0.20205066344993969</v>
      </c>
      <c r="M218" s="1">
        <f t="shared" si="14"/>
        <v>0.65074626865671636</v>
      </c>
      <c r="N218" s="1">
        <f t="shared" si="15"/>
        <v>0.45412844036697247</v>
      </c>
    </row>
    <row r="219" spans="1:14" x14ac:dyDescent="0.3">
      <c r="A219" t="s">
        <v>295</v>
      </c>
      <c r="B219" s="2" t="s">
        <v>294</v>
      </c>
      <c r="C219" s="2" t="str">
        <f t="shared" si="12"/>
        <v>Feb-2024</v>
      </c>
      <c r="D219" t="s">
        <v>16</v>
      </c>
      <c r="E219" t="s">
        <v>177</v>
      </c>
      <c r="F219" t="s">
        <v>18</v>
      </c>
      <c r="G219">
        <v>1751</v>
      </c>
      <c r="H219">
        <v>343</v>
      </c>
      <c r="I219">
        <v>166</v>
      </c>
      <c r="J219">
        <v>41</v>
      </c>
      <c r="K219">
        <v>503521</v>
      </c>
      <c r="L219" s="1">
        <f t="shared" si="13"/>
        <v>0.19588806396344946</v>
      </c>
      <c r="M219" s="1">
        <f t="shared" si="14"/>
        <v>0.48396501457725949</v>
      </c>
      <c r="N219" s="1">
        <f t="shared" si="15"/>
        <v>0.24698795180722891</v>
      </c>
    </row>
    <row r="220" spans="1:14" x14ac:dyDescent="0.3">
      <c r="A220" t="s">
        <v>296</v>
      </c>
      <c r="B220" s="2" t="s">
        <v>294</v>
      </c>
      <c r="C220" s="2" t="str">
        <f t="shared" si="12"/>
        <v>Feb-2024</v>
      </c>
      <c r="D220" t="s">
        <v>20</v>
      </c>
      <c r="E220" t="s">
        <v>179</v>
      </c>
      <c r="F220" t="s">
        <v>22</v>
      </c>
      <c r="G220">
        <v>1916</v>
      </c>
      <c r="H220">
        <v>553</v>
      </c>
      <c r="I220">
        <v>288</v>
      </c>
      <c r="J220">
        <v>101</v>
      </c>
      <c r="K220">
        <v>1300375</v>
      </c>
      <c r="L220" s="1">
        <f t="shared" si="13"/>
        <v>0.2886221294363257</v>
      </c>
      <c r="M220" s="1">
        <f t="shared" si="14"/>
        <v>0.5207956600361664</v>
      </c>
      <c r="N220" s="1">
        <f t="shared" si="15"/>
        <v>0.35069444444444442</v>
      </c>
    </row>
    <row r="221" spans="1:14" x14ac:dyDescent="0.3">
      <c r="A221" t="s">
        <v>297</v>
      </c>
      <c r="B221" s="2" t="s">
        <v>294</v>
      </c>
      <c r="C221" s="2" t="str">
        <f t="shared" si="12"/>
        <v>Feb-2024</v>
      </c>
      <c r="D221" t="s">
        <v>12</v>
      </c>
      <c r="E221" t="s">
        <v>181</v>
      </c>
      <c r="F221" t="s">
        <v>24</v>
      </c>
      <c r="G221">
        <v>911</v>
      </c>
      <c r="H221">
        <v>185</v>
      </c>
      <c r="I221">
        <v>119</v>
      </c>
      <c r="J221">
        <v>55</v>
      </c>
      <c r="K221">
        <v>309815</v>
      </c>
      <c r="L221" s="1">
        <f t="shared" si="13"/>
        <v>0.2030735455543359</v>
      </c>
      <c r="M221" s="1">
        <f t="shared" si="14"/>
        <v>0.64324324324324322</v>
      </c>
      <c r="N221" s="1">
        <f t="shared" si="15"/>
        <v>0.46218487394957986</v>
      </c>
    </row>
    <row r="222" spans="1:14" x14ac:dyDescent="0.3">
      <c r="A222" t="s">
        <v>298</v>
      </c>
      <c r="B222" s="2" t="s">
        <v>299</v>
      </c>
      <c r="C222" s="2" t="str">
        <f t="shared" si="12"/>
        <v>Feb-2024</v>
      </c>
      <c r="D222" t="s">
        <v>16</v>
      </c>
      <c r="E222" t="s">
        <v>177</v>
      </c>
      <c r="F222" t="s">
        <v>14</v>
      </c>
      <c r="G222">
        <v>1010</v>
      </c>
      <c r="H222">
        <v>225</v>
      </c>
      <c r="I222">
        <v>171</v>
      </c>
      <c r="J222">
        <v>84</v>
      </c>
      <c r="K222">
        <v>782880</v>
      </c>
      <c r="L222" s="1">
        <f t="shared" si="13"/>
        <v>0.22277227722772278</v>
      </c>
      <c r="M222" s="1">
        <f t="shared" si="14"/>
        <v>0.76</v>
      </c>
      <c r="N222" s="1">
        <f t="shared" si="15"/>
        <v>0.49122807017543857</v>
      </c>
    </row>
    <row r="223" spans="1:14" x14ac:dyDescent="0.3">
      <c r="A223" t="s">
        <v>300</v>
      </c>
      <c r="B223" s="2" t="s">
        <v>299</v>
      </c>
      <c r="C223" s="2" t="str">
        <f t="shared" si="12"/>
        <v>Feb-2024</v>
      </c>
      <c r="D223" t="s">
        <v>20</v>
      </c>
      <c r="E223" t="s">
        <v>179</v>
      </c>
      <c r="F223" t="s">
        <v>18</v>
      </c>
      <c r="G223">
        <v>1530</v>
      </c>
      <c r="H223">
        <v>325</v>
      </c>
      <c r="I223">
        <v>160</v>
      </c>
      <c r="J223">
        <v>36</v>
      </c>
      <c r="K223">
        <v>250056</v>
      </c>
      <c r="L223" s="1">
        <f t="shared" si="13"/>
        <v>0.21241830065359477</v>
      </c>
      <c r="M223" s="1">
        <f t="shared" si="14"/>
        <v>0.49230769230769234</v>
      </c>
      <c r="N223" s="1">
        <f t="shared" si="15"/>
        <v>0.22500000000000001</v>
      </c>
    </row>
    <row r="224" spans="1:14" x14ac:dyDescent="0.3">
      <c r="A224" t="s">
        <v>301</v>
      </c>
      <c r="B224" s="2" t="s">
        <v>299</v>
      </c>
      <c r="C224" s="2" t="str">
        <f t="shared" si="12"/>
        <v>Feb-2024</v>
      </c>
      <c r="D224" t="s">
        <v>12</v>
      </c>
      <c r="E224" t="s">
        <v>181</v>
      </c>
      <c r="F224" t="s">
        <v>22</v>
      </c>
      <c r="G224">
        <v>1323</v>
      </c>
      <c r="H224">
        <v>270</v>
      </c>
      <c r="I224">
        <v>184</v>
      </c>
      <c r="J224">
        <v>83</v>
      </c>
      <c r="K224">
        <v>1003221</v>
      </c>
      <c r="L224" s="1">
        <f t="shared" si="13"/>
        <v>0.20408163265306123</v>
      </c>
      <c r="M224" s="1">
        <f t="shared" si="14"/>
        <v>0.68148148148148147</v>
      </c>
      <c r="N224" s="1">
        <f t="shared" si="15"/>
        <v>0.45108695652173914</v>
      </c>
    </row>
    <row r="225" spans="1:14" x14ac:dyDescent="0.3">
      <c r="A225" t="s">
        <v>302</v>
      </c>
      <c r="B225" s="2" t="s">
        <v>299</v>
      </c>
      <c r="C225" s="2" t="str">
        <f t="shared" si="12"/>
        <v>Feb-2024</v>
      </c>
      <c r="D225" t="s">
        <v>16</v>
      </c>
      <c r="E225" t="s">
        <v>177</v>
      </c>
      <c r="F225" t="s">
        <v>24</v>
      </c>
      <c r="G225">
        <v>764</v>
      </c>
      <c r="H225">
        <v>127</v>
      </c>
      <c r="I225">
        <v>82</v>
      </c>
      <c r="J225">
        <v>27</v>
      </c>
      <c r="K225">
        <v>356967</v>
      </c>
      <c r="L225" s="1">
        <f t="shared" si="13"/>
        <v>0.16623036649214659</v>
      </c>
      <c r="M225" s="1">
        <f t="shared" si="14"/>
        <v>0.64566929133858264</v>
      </c>
      <c r="N225" s="1">
        <f t="shared" si="15"/>
        <v>0.32926829268292684</v>
      </c>
    </row>
    <row r="226" spans="1:14" x14ac:dyDescent="0.3">
      <c r="A226" t="s">
        <v>303</v>
      </c>
      <c r="B226" s="2" t="s">
        <v>304</v>
      </c>
      <c r="C226" s="2" t="str">
        <f t="shared" si="12"/>
        <v>Feb-2024</v>
      </c>
      <c r="D226" t="s">
        <v>20</v>
      </c>
      <c r="E226" t="s">
        <v>179</v>
      </c>
      <c r="F226" t="s">
        <v>14</v>
      </c>
      <c r="G226">
        <v>1018</v>
      </c>
      <c r="H226">
        <v>244</v>
      </c>
      <c r="I226">
        <v>186</v>
      </c>
      <c r="J226">
        <v>91</v>
      </c>
      <c r="K226">
        <v>1158794</v>
      </c>
      <c r="L226" s="1">
        <f t="shared" si="13"/>
        <v>0.23968565815324164</v>
      </c>
      <c r="M226" s="1">
        <f t="shared" si="14"/>
        <v>0.76229508196721307</v>
      </c>
      <c r="N226" s="1">
        <f t="shared" si="15"/>
        <v>0.489247311827957</v>
      </c>
    </row>
    <row r="227" spans="1:14" x14ac:dyDescent="0.3">
      <c r="A227" t="s">
        <v>305</v>
      </c>
      <c r="B227" s="2" t="s">
        <v>304</v>
      </c>
      <c r="C227" s="2" t="str">
        <f t="shared" si="12"/>
        <v>Feb-2024</v>
      </c>
      <c r="D227" t="s">
        <v>12</v>
      </c>
      <c r="E227" t="s">
        <v>181</v>
      </c>
      <c r="F227" t="s">
        <v>18</v>
      </c>
      <c r="G227">
        <v>1535</v>
      </c>
      <c r="H227">
        <v>448</v>
      </c>
      <c r="I227">
        <v>294</v>
      </c>
      <c r="J227">
        <v>101</v>
      </c>
      <c r="K227">
        <v>1469752</v>
      </c>
      <c r="L227" s="1">
        <f t="shared" si="13"/>
        <v>0.29185667752442995</v>
      </c>
      <c r="M227" s="1">
        <f t="shared" si="14"/>
        <v>0.65625</v>
      </c>
      <c r="N227" s="1">
        <f t="shared" si="15"/>
        <v>0.34353741496598639</v>
      </c>
    </row>
    <row r="228" spans="1:14" x14ac:dyDescent="0.3">
      <c r="A228" t="s">
        <v>306</v>
      </c>
      <c r="B228" s="2" t="s">
        <v>304</v>
      </c>
      <c r="C228" s="2" t="str">
        <f t="shared" si="12"/>
        <v>Feb-2024</v>
      </c>
      <c r="D228" t="s">
        <v>16</v>
      </c>
      <c r="E228" t="s">
        <v>177</v>
      </c>
      <c r="F228" t="s">
        <v>22</v>
      </c>
      <c r="G228">
        <v>1813</v>
      </c>
      <c r="H228">
        <v>426</v>
      </c>
      <c r="I228">
        <v>224</v>
      </c>
      <c r="J228">
        <v>59</v>
      </c>
      <c r="K228">
        <v>412351</v>
      </c>
      <c r="L228" s="1">
        <f t="shared" si="13"/>
        <v>0.23496966354109211</v>
      </c>
      <c r="M228" s="1">
        <f t="shared" si="14"/>
        <v>0.5258215962441315</v>
      </c>
      <c r="N228" s="1">
        <f t="shared" si="15"/>
        <v>0.26339285714285715</v>
      </c>
    </row>
    <row r="229" spans="1:14" x14ac:dyDescent="0.3">
      <c r="A229" t="s">
        <v>307</v>
      </c>
      <c r="B229" s="2" t="s">
        <v>304</v>
      </c>
      <c r="C229" s="2" t="str">
        <f t="shared" si="12"/>
        <v>Feb-2024</v>
      </c>
      <c r="D229" t="s">
        <v>20</v>
      </c>
      <c r="E229" t="s">
        <v>179</v>
      </c>
      <c r="F229" t="s">
        <v>24</v>
      </c>
      <c r="G229">
        <v>706</v>
      </c>
      <c r="H229">
        <v>190</v>
      </c>
      <c r="I229">
        <v>76</v>
      </c>
      <c r="J229">
        <v>33</v>
      </c>
      <c r="K229">
        <v>200013</v>
      </c>
      <c r="L229" s="1">
        <f t="shared" si="13"/>
        <v>0.26912181303116145</v>
      </c>
      <c r="M229" s="1">
        <f t="shared" si="14"/>
        <v>0.4</v>
      </c>
      <c r="N229" s="1">
        <f t="shared" si="15"/>
        <v>0.43421052631578949</v>
      </c>
    </row>
    <row r="230" spans="1:14" x14ac:dyDescent="0.3">
      <c r="A230" t="s">
        <v>308</v>
      </c>
      <c r="B230" s="2" t="s">
        <v>309</v>
      </c>
      <c r="C230" s="2" t="str">
        <f t="shared" si="12"/>
        <v>Feb-2024</v>
      </c>
      <c r="D230" t="s">
        <v>12</v>
      </c>
      <c r="E230" t="s">
        <v>181</v>
      </c>
      <c r="F230" t="s">
        <v>14</v>
      </c>
      <c r="G230">
        <v>1575</v>
      </c>
      <c r="H230">
        <v>203</v>
      </c>
      <c r="I230">
        <v>145</v>
      </c>
      <c r="J230">
        <v>67</v>
      </c>
      <c r="K230">
        <v>882792</v>
      </c>
      <c r="L230" s="1">
        <f t="shared" si="13"/>
        <v>0.12888888888888889</v>
      </c>
      <c r="M230" s="1">
        <f t="shared" si="14"/>
        <v>0.7142857142857143</v>
      </c>
      <c r="N230" s="1">
        <f t="shared" si="15"/>
        <v>0.46206896551724136</v>
      </c>
    </row>
    <row r="231" spans="1:14" x14ac:dyDescent="0.3">
      <c r="A231" t="s">
        <v>310</v>
      </c>
      <c r="B231" s="2" t="s">
        <v>309</v>
      </c>
      <c r="C231" s="2" t="str">
        <f t="shared" si="12"/>
        <v>Feb-2024</v>
      </c>
      <c r="D231" t="s">
        <v>16</v>
      </c>
      <c r="E231" t="s">
        <v>177</v>
      </c>
      <c r="F231" t="s">
        <v>18</v>
      </c>
      <c r="G231">
        <v>1864</v>
      </c>
      <c r="H231">
        <v>355</v>
      </c>
      <c r="I231">
        <v>203</v>
      </c>
      <c r="J231">
        <v>92</v>
      </c>
      <c r="K231">
        <v>810152</v>
      </c>
      <c r="L231" s="1">
        <f t="shared" si="13"/>
        <v>0.19045064377682402</v>
      </c>
      <c r="M231" s="1">
        <f t="shared" si="14"/>
        <v>0.57183098591549297</v>
      </c>
      <c r="N231" s="1">
        <f t="shared" si="15"/>
        <v>0.45320197044334976</v>
      </c>
    </row>
    <row r="232" spans="1:14" x14ac:dyDescent="0.3">
      <c r="A232" t="s">
        <v>311</v>
      </c>
      <c r="B232" s="2" t="s">
        <v>309</v>
      </c>
      <c r="C232" s="2" t="str">
        <f t="shared" si="12"/>
        <v>Feb-2024</v>
      </c>
      <c r="D232" t="s">
        <v>20</v>
      </c>
      <c r="E232" t="s">
        <v>179</v>
      </c>
      <c r="F232" t="s">
        <v>22</v>
      </c>
      <c r="G232">
        <v>1500</v>
      </c>
      <c r="H232">
        <v>188</v>
      </c>
      <c r="I232">
        <v>82</v>
      </c>
      <c r="J232">
        <v>38</v>
      </c>
      <c r="K232">
        <v>545870</v>
      </c>
      <c r="L232" s="1">
        <f t="shared" si="13"/>
        <v>0.12533333333333332</v>
      </c>
      <c r="M232" s="1">
        <f t="shared" si="14"/>
        <v>0.43617021276595747</v>
      </c>
      <c r="N232" s="1">
        <f t="shared" si="15"/>
        <v>0.46341463414634149</v>
      </c>
    </row>
    <row r="233" spans="1:14" x14ac:dyDescent="0.3">
      <c r="A233" t="s">
        <v>312</v>
      </c>
      <c r="B233" s="2" t="s">
        <v>309</v>
      </c>
      <c r="C233" s="2" t="str">
        <f t="shared" si="12"/>
        <v>Feb-2024</v>
      </c>
      <c r="D233" t="s">
        <v>12</v>
      </c>
      <c r="E233" t="s">
        <v>181</v>
      </c>
      <c r="F233" t="s">
        <v>24</v>
      </c>
      <c r="G233">
        <v>1936</v>
      </c>
      <c r="H233">
        <v>509</v>
      </c>
      <c r="I233">
        <v>385</v>
      </c>
      <c r="J233">
        <v>119</v>
      </c>
      <c r="K233">
        <v>549304</v>
      </c>
      <c r="L233" s="1">
        <f t="shared" si="13"/>
        <v>0.26291322314049587</v>
      </c>
      <c r="M233" s="1">
        <f t="shared" si="14"/>
        <v>0.75638506876227896</v>
      </c>
      <c r="N233" s="1">
        <f t="shared" si="15"/>
        <v>0.30909090909090908</v>
      </c>
    </row>
    <row r="234" spans="1:14" x14ac:dyDescent="0.3">
      <c r="A234" t="s">
        <v>313</v>
      </c>
      <c r="B234" s="2" t="s">
        <v>314</v>
      </c>
      <c r="C234" s="2" t="str">
        <f t="shared" si="12"/>
        <v>Feb-2024</v>
      </c>
      <c r="D234" t="s">
        <v>16</v>
      </c>
      <c r="E234" t="s">
        <v>177</v>
      </c>
      <c r="F234" t="s">
        <v>14</v>
      </c>
      <c r="G234">
        <v>682</v>
      </c>
      <c r="H234">
        <v>178</v>
      </c>
      <c r="I234">
        <v>116</v>
      </c>
      <c r="J234">
        <v>37</v>
      </c>
      <c r="K234">
        <v>418396</v>
      </c>
      <c r="L234" s="1">
        <f t="shared" si="13"/>
        <v>0.26099706744868034</v>
      </c>
      <c r="M234" s="1">
        <f t="shared" si="14"/>
        <v>0.651685393258427</v>
      </c>
      <c r="N234" s="1">
        <f t="shared" si="15"/>
        <v>0.31896551724137934</v>
      </c>
    </row>
    <row r="235" spans="1:14" x14ac:dyDescent="0.3">
      <c r="A235" t="s">
        <v>315</v>
      </c>
      <c r="B235" s="2" t="s">
        <v>314</v>
      </c>
      <c r="C235" s="2" t="str">
        <f t="shared" si="12"/>
        <v>Feb-2024</v>
      </c>
      <c r="D235" t="s">
        <v>20</v>
      </c>
      <c r="E235" t="s">
        <v>179</v>
      </c>
      <c r="F235" t="s">
        <v>18</v>
      </c>
      <c r="G235">
        <v>1322</v>
      </c>
      <c r="H235">
        <v>219</v>
      </c>
      <c r="I235">
        <v>170</v>
      </c>
      <c r="J235">
        <v>74</v>
      </c>
      <c r="K235">
        <v>643134</v>
      </c>
      <c r="L235" s="1">
        <f t="shared" si="13"/>
        <v>0.16565809379727686</v>
      </c>
      <c r="M235" s="1">
        <f t="shared" si="14"/>
        <v>0.77625570776255703</v>
      </c>
      <c r="N235" s="1">
        <f t="shared" si="15"/>
        <v>0.43529411764705883</v>
      </c>
    </row>
    <row r="236" spans="1:14" x14ac:dyDescent="0.3">
      <c r="A236" t="s">
        <v>316</v>
      </c>
      <c r="B236" s="2" t="s">
        <v>314</v>
      </c>
      <c r="C236" s="2" t="str">
        <f t="shared" si="12"/>
        <v>Feb-2024</v>
      </c>
      <c r="D236" t="s">
        <v>12</v>
      </c>
      <c r="E236" t="s">
        <v>181</v>
      </c>
      <c r="F236" t="s">
        <v>22</v>
      </c>
      <c r="G236">
        <v>1512</v>
      </c>
      <c r="H236">
        <v>331</v>
      </c>
      <c r="I236">
        <v>145</v>
      </c>
      <c r="J236">
        <v>48</v>
      </c>
      <c r="K236">
        <v>264432</v>
      </c>
      <c r="L236" s="1">
        <f t="shared" si="13"/>
        <v>0.21891534391534392</v>
      </c>
      <c r="M236" s="1">
        <f t="shared" si="14"/>
        <v>0.4380664652567976</v>
      </c>
      <c r="N236" s="1">
        <f t="shared" si="15"/>
        <v>0.33103448275862069</v>
      </c>
    </row>
    <row r="237" spans="1:14" x14ac:dyDescent="0.3">
      <c r="A237" t="s">
        <v>317</v>
      </c>
      <c r="B237" s="2" t="s">
        <v>314</v>
      </c>
      <c r="C237" s="2" t="str">
        <f t="shared" si="12"/>
        <v>Feb-2024</v>
      </c>
      <c r="D237" t="s">
        <v>16</v>
      </c>
      <c r="E237" t="s">
        <v>177</v>
      </c>
      <c r="F237" t="s">
        <v>24</v>
      </c>
      <c r="G237">
        <v>1918</v>
      </c>
      <c r="H237">
        <v>415</v>
      </c>
      <c r="I237">
        <v>273</v>
      </c>
      <c r="J237">
        <v>106</v>
      </c>
      <c r="K237">
        <v>1403652</v>
      </c>
      <c r="L237" s="1">
        <f t="shared" si="13"/>
        <v>0.21637122002085507</v>
      </c>
      <c r="M237" s="1">
        <f t="shared" si="14"/>
        <v>0.65783132530120481</v>
      </c>
      <c r="N237" s="1">
        <f t="shared" si="15"/>
        <v>0.38827838827838829</v>
      </c>
    </row>
    <row r="238" spans="1:14" x14ac:dyDescent="0.3">
      <c r="A238" t="s">
        <v>318</v>
      </c>
      <c r="B238" s="2" t="s">
        <v>319</v>
      </c>
      <c r="C238" s="2" t="str">
        <f t="shared" si="12"/>
        <v>Feb-2024</v>
      </c>
      <c r="D238" t="s">
        <v>20</v>
      </c>
      <c r="E238" t="s">
        <v>179</v>
      </c>
      <c r="F238" t="s">
        <v>14</v>
      </c>
      <c r="G238">
        <v>745</v>
      </c>
      <c r="H238">
        <v>176</v>
      </c>
      <c r="I238">
        <v>139</v>
      </c>
      <c r="J238">
        <v>59</v>
      </c>
      <c r="K238">
        <v>349693</v>
      </c>
      <c r="L238" s="1">
        <f t="shared" si="13"/>
        <v>0.23624161073825503</v>
      </c>
      <c r="M238" s="1">
        <f t="shared" si="14"/>
        <v>0.78977272727272729</v>
      </c>
      <c r="N238" s="1">
        <f t="shared" si="15"/>
        <v>0.42446043165467628</v>
      </c>
    </row>
    <row r="239" spans="1:14" x14ac:dyDescent="0.3">
      <c r="A239" t="s">
        <v>320</v>
      </c>
      <c r="B239" s="2" t="s">
        <v>319</v>
      </c>
      <c r="C239" s="2" t="str">
        <f t="shared" si="12"/>
        <v>Feb-2024</v>
      </c>
      <c r="D239" t="s">
        <v>12</v>
      </c>
      <c r="E239" t="s">
        <v>181</v>
      </c>
      <c r="F239" t="s">
        <v>18</v>
      </c>
      <c r="G239">
        <v>891</v>
      </c>
      <c r="H239">
        <v>122</v>
      </c>
      <c r="I239">
        <v>63</v>
      </c>
      <c r="J239">
        <v>26</v>
      </c>
      <c r="K239">
        <v>279162</v>
      </c>
      <c r="L239" s="1">
        <f t="shared" si="13"/>
        <v>0.13692480359147025</v>
      </c>
      <c r="M239" s="1">
        <f t="shared" si="14"/>
        <v>0.51639344262295084</v>
      </c>
      <c r="N239" s="1">
        <f t="shared" si="15"/>
        <v>0.41269841269841268</v>
      </c>
    </row>
    <row r="240" spans="1:14" x14ac:dyDescent="0.3">
      <c r="A240" t="s">
        <v>321</v>
      </c>
      <c r="B240" s="2" t="s">
        <v>319</v>
      </c>
      <c r="C240" s="2" t="str">
        <f t="shared" si="12"/>
        <v>Feb-2024</v>
      </c>
      <c r="D240" t="s">
        <v>16</v>
      </c>
      <c r="E240" t="s">
        <v>177</v>
      </c>
      <c r="F240" t="s">
        <v>22</v>
      </c>
      <c r="G240">
        <v>802</v>
      </c>
      <c r="H240">
        <v>168</v>
      </c>
      <c r="I240">
        <v>69</v>
      </c>
      <c r="J240">
        <v>18</v>
      </c>
      <c r="K240">
        <v>167418</v>
      </c>
      <c r="L240" s="1">
        <f t="shared" si="13"/>
        <v>0.20947630922693267</v>
      </c>
      <c r="M240" s="1">
        <f t="shared" si="14"/>
        <v>0.4107142857142857</v>
      </c>
      <c r="N240" s="1">
        <f t="shared" si="15"/>
        <v>0.2608695652173913</v>
      </c>
    </row>
    <row r="241" spans="1:14" x14ac:dyDescent="0.3">
      <c r="A241" t="s">
        <v>322</v>
      </c>
      <c r="B241" s="2" t="s">
        <v>319</v>
      </c>
      <c r="C241" s="2" t="str">
        <f t="shared" si="12"/>
        <v>Feb-2024</v>
      </c>
      <c r="D241" t="s">
        <v>20</v>
      </c>
      <c r="E241" t="s">
        <v>179</v>
      </c>
      <c r="F241" t="s">
        <v>24</v>
      </c>
      <c r="G241">
        <v>581</v>
      </c>
      <c r="H241">
        <v>105</v>
      </c>
      <c r="I241">
        <v>67</v>
      </c>
      <c r="J241">
        <v>26</v>
      </c>
      <c r="K241">
        <v>218452</v>
      </c>
      <c r="L241" s="1">
        <f t="shared" si="13"/>
        <v>0.18072289156626506</v>
      </c>
      <c r="M241" s="1">
        <f t="shared" si="14"/>
        <v>0.63809523809523805</v>
      </c>
      <c r="N241" s="1">
        <f t="shared" si="15"/>
        <v>0.38805970149253732</v>
      </c>
    </row>
    <row r="242" spans="1:14" x14ac:dyDescent="0.3">
      <c r="A242" t="s">
        <v>323</v>
      </c>
      <c r="B242" s="2" t="s">
        <v>324</v>
      </c>
      <c r="C242" s="2" t="str">
        <f t="shared" si="12"/>
        <v>Mar-2024</v>
      </c>
      <c r="D242" t="s">
        <v>12</v>
      </c>
      <c r="E242" t="s">
        <v>325</v>
      </c>
      <c r="F242" t="s">
        <v>14</v>
      </c>
      <c r="G242">
        <v>974</v>
      </c>
      <c r="H242">
        <v>277</v>
      </c>
      <c r="I242">
        <v>200</v>
      </c>
      <c r="J242">
        <v>80</v>
      </c>
      <c r="K242">
        <v>448640</v>
      </c>
      <c r="L242" s="1">
        <f t="shared" si="13"/>
        <v>0.28439425051334705</v>
      </c>
      <c r="M242" s="1">
        <f t="shared" si="14"/>
        <v>0.72202166064981954</v>
      </c>
      <c r="N242" s="1">
        <f t="shared" si="15"/>
        <v>0.4</v>
      </c>
    </row>
    <row r="243" spans="1:14" x14ac:dyDescent="0.3">
      <c r="A243" t="s">
        <v>326</v>
      </c>
      <c r="B243" s="2" t="s">
        <v>324</v>
      </c>
      <c r="C243" s="2" t="str">
        <f t="shared" si="12"/>
        <v>Mar-2024</v>
      </c>
      <c r="D243" t="s">
        <v>16</v>
      </c>
      <c r="E243" t="s">
        <v>327</v>
      </c>
      <c r="F243" t="s">
        <v>18</v>
      </c>
      <c r="G243">
        <v>1454</v>
      </c>
      <c r="H243">
        <v>295</v>
      </c>
      <c r="I243">
        <v>215</v>
      </c>
      <c r="J243">
        <v>46</v>
      </c>
      <c r="K243">
        <v>394680</v>
      </c>
      <c r="L243" s="1">
        <f t="shared" si="13"/>
        <v>0.20288858321870701</v>
      </c>
      <c r="M243" s="1">
        <f t="shared" si="14"/>
        <v>0.72881355932203384</v>
      </c>
      <c r="N243" s="1">
        <f t="shared" si="15"/>
        <v>0.21395348837209302</v>
      </c>
    </row>
    <row r="244" spans="1:14" x14ac:dyDescent="0.3">
      <c r="A244" t="s">
        <v>328</v>
      </c>
      <c r="B244" s="2" t="s">
        <v>324</v>
      </c>
      <c r="C244" s="2" t="str">
        <f t="shared" si="12"/>
        <v>Mar-2024</v>
      </c>
      <c r="D244" t="s">
        <v>20</v>
      </c>
      <c r="E244" t="s">
        <v>329</v>
      </c>
      <c r="F244" t="s">
        <v>22</v>
      </c>
      <c r="G244">
        <v>602</v>
      </c>
      <c r="H244">
        <v>172</v>
      </c>
      <c r="I244">
        <v>76</v>
      </c>
      <c r="J244">
        <v>17</v>
      </c>
      <c r="K244">
        <v>132124</v>
      </c>
      <c r="L244" s="1">
        <f t="shared" si="13"/>
        <v>0.2857142857142857</v>
      </c>
      <c r="M244" s="1">
        <f t="shared" si="14"/>
        <v>0.44186046511627908</v>
      </c>
      <c r="N244" s="1">
        <f t="shared" si="15"/>
        <v>0.22368421052631579</v>
      </c>
    </row>
    <row r="245" spans="1:14" x14ac:dyDescent="0.3">
      <c r="A245" t="s">
        <v>330</v>
      </c>
      <c r="B245" s="2" t="s">
        <v>324</v>
      </c>
      <c r="C245" s="2" t="str">
        <f t="shared" si="12"/>
        <v>Mar-2024</v>
      </c>
      <c r="D245" t="s">
        <v>12</v>
      </c>
      <c r="E245" t="s">
        <v>325</v>
      </c>
      <c r="F245" t="s">
        <v>24</v>
      </c>
      <c r="G245">
        <v>1890</v>
      </c>
      <c r="H245">
        <v>447</v>
      </c>
      <c r="I245">
        <v>332</v>
      </c>
      <c r="J245">
        <v>104</v>
      </c>
      <c r="K245">
        <v>957528</v>
      </c>
      <c r="L245" s="1">
        <f t="shared" si="13"/>
        <v>0.2365079365079365</v>
      </c>
      <c r="M245" s="1">
        <f t="shared" si="14"/>
        <v>0.74272930648769575</v>
      </c>
      <c r="N245" s="1">
        <f t="shared" si="15"/>
        <v>0.31325301204819278</v>
      </c>
    </row>
    <row r="246" spans="1:14" x14ac:dyDescent="0.3">
      <c r="A246" t="s">
        <v>331</v>
      </c>
      <c r="B246" s="2" t="s">
        <v>332</v>
      </c>
      <c r="C246" s="2" t="str">
        <f t="shared" si="12"/>
        <v>Mar-2024</v>
      </c>
      <c r="D246" t="s">
        <v>16</v>
      </c>
      <c r="E246" t="s">
        <v>327</v>
      </c>
      <c r="F246" t="s">
        <v>14</v>
      </c>
      <c r="G246">
        <v>1638</v>
      </c>
      <c r="H246">
        <v>461</v>
      </c>
      <c r="I246">
        <v>350</v>
      </c>
      <c r="J246">
        <v>76</v>
      </c>
      <c r="K246">
        <v>561716</v>
      </c>
      <c r="L246" s="1">
        <f t="shared" si="13"/>
        <v>0.28144078144078144</v>
      </c>
      <c r="M246" s="1">
        <f t="shared" si="14"/>
        <v>0.75921908893709322</v>
      </c>
      <c r="N246" s="1">
        <f t="shared" si="15"/>
        <v>0.21714285714285714</v>
      </c>
    </row>
    <row r="247" spans="1:14" x14ac:dyDescent="0.3">
      <c r="A247" t="s">
        <v>333</v>
      </c>
      <c r="B247" s="2" t="s">
        <v>332</v>
      </c>
      <c r="C247" s="2" t="str">
        <f t="shared" si="12"/>
        <v>Mar-2024</v>
      </c>
      <c r="D247" t="s">
        <v>20</v>
      </c>
      <c r="E247" t="s">
        <v>329</v>
      </c>
      <c r="F247" t="s">
        <v>18</v>
      </c>
      <c r="G247">
        <v>1030</v>
      </c>
      <c r="H247">
        <v>267</v>
      </c>
      <c r="I247">
        <v>186</v>
      </c>
      <c r="J247">
        <v>85</v>
      </c>
      <c r="K247">
        <v>1003850</v>
      </c>
      <c r="L247" s="1">
        <f t="shared" si="13"/>
        <v>0.25922330097087376</v>
      </c>
      <c r="M247" s="1">
        <f t="shared" si="14"/>
        <v>0.6966292134831461</v>
      </c>
      <c r="N247" s="1">
        <f t="shared" si="15"/>
        <v>0.45698924731182794</v>
      </c>
    </row>
    <row r="248" spans="1:14" x14ac:dyDescent="0.3">
      <c r="A248" t="s">
        <v>334</v>
      </c>
      <c r="B248" s="2" t="s">
        <v>332</v>
      </c>
      <c r="C248" s="2" t="str">
        <f t="shared" si="12"/>
        <v>Mar-2024</v>
      </c>
      <c r="D248" t="s">
        <v>12</v>
      </c>
      <c r="E248" t="s">
        <v>325</v>
      </c>
      <c r="F248" t="s">
        <v>22</v>
      </c>
      <c r="G248">
        <v>1495</v>
      </c>
      <c r="H248">
        <v>255</v>
      </c>
      <c r="I248">
        <v>151</v>
      </c>
      <c r="J248">
        <v>61</v>
      </c>
      <c r="K248">
        <v>581940</v>
      </c>
      <c r="L248" s="1">
        <f t="shared" si="13"/>
        <v>0.1705685618729097</v>
      </c>
      <c r="M248" s="1">
        <f t="shared" si="14"/>
        <v>0.59215686274509804</v>
      </c>
      <c r="N248" s="1">
        <f t="shared" si="15"/>
        <v>0.40397350993377484</v>
      </c>
    </row>
    <row r="249" spans="1:14" x14ac:dyDescent="0.3">
      <c r="A249" t="s">
        <v>335</v>
      </c>
      <c r="B249" s="2" t="s">
        <v>332</v>
      </c>
      <c r="C249" s="2" t="str">
        <f t="shared" si="12"/>
        <v>Mar-2024</v>
      </c>
      <c r="D249" t="s">
        <v>16</v>
      </c>
      <c r="E249" t="s">
        <v>327</v>
      </c>
      <c r="F249" t="s">
        <v>24</v>
      </c>
      <c r="G249">
        <v>603</v>
      </c>
      <c r="H249">
        <v>97</v>
      </c>
      <c r="I249">
        <v>40</v>
      </c>
      <c r="J249">
        <v>11</v>
      </c>
      <c r="K249">
        <v>63261</v>
      </c>
      <c r="L249" s="1">
        <f t="shared" si="13"/>
        <v>0.16086235489220563</v>
      </c>
      <c r="M249" s="1">
        <f t="shared" si="14"/>
        <v>0.41237113402061853</v>
      </c>
      <c r="N249" s="1">
        <f t="shared" si="15"/>
        <v>0.27500000000000002</v>
      </c>
    </row>
    <row r="250" spans="1:14" x14ac:dyDescent="0.3">
      <c r="A250" t="s">
        <v>336</v>
      </c>
      <c r="B250" s="2" t="s">
        <v>337</v>
      </c>
      <c r="C250" s="2" t="str">
        <f t="shared" si="12"/>
        <v>Mar-2024</v>
      </c>
      <c r="D250" t="s">
        <v>20</v>
      </c>
      <c r="E250" t="s">
        <v>329</v>
      </c>
      <c r="F250" t="s">
        <v>14</v>
      </c>
      <c r="G250">
        <v>517</v>
      </c>
      <c r="H250">
        <v>80</v>
      </c>
      <c r="I250">
        <v>36</v>
      </c>
      <c r="J250">
        <v>12</v>
      </c>
      <c r="K250">
        <v>89700</v>
      </c>
      <c r="L250" s="1">
        <f t="shared" si="13"/>
        <v>0.15473887814313347</v>
      </c>
      <c r="M250" s="1">
        <f t="shared" si="14"/>
        <v>0.45</v>
      </c>
      <c r="N250" s="1">
        <f t="shared" si="15"/>
        <v>0.33333333333333331</v>
      </c>
    </row>
    <row r="251" spans="1:14" x14ac:dyDescent="0.3">
      <c r="A251" t="s">
        <v>338</v>
      </c>
      <c r="B251" s="2" t="s">
        <v>337</v>
      </c>
      <c r="C251" s="2" t="str">
        <f t="shared" si="12"/>
        <v>Mar-2024</v>
      </c>
      <c r="D251" t="s">
        <v>12</v>
      </c>
      <c r="E251" t="s">
        <v>325</v>
      </c>
      <c r="F251" t="s">
        <v>18</v>
      </c>
      <c r="G251">
        <v>1250</v>
      </c>
      <c r="H251">
        <v>191</v>
      </c>
      <c r="I251">
        <v>101</v>
      </c>
      <c r="J251">
        <v>41</v>
      </c>
      <c r="K251">
        <v>270149</v>
      </c>
      <c r="L251" s="1">
        <f t="shared" si="13"/>
        <v>0.15279999999999999</v>
      </c>
      <c r="M251" s="1">
        <f t="shared" si="14"/>
        <v>0.52879581151832455</v>
      </c>
      <c r="N251" s="1">
        <f t="shared" si="15"/>
        <v>0.40594059405940597</v>
      </c>
    </row>
    <row r="252" spans="1:14" x14ac:dyDescent="0.3">
      <c r="A252" t="s">
        <v>339</v>
      </c>
      <c r="B252" s="2" t="s">
        <v>337</v>
      </c>
      <c r="C252" s="2" t="str">
        <f t="shared" si="12"/>
        <v>Mar-2024</v>
      </c>
      <c r="D252" t="s">
        <v>16</v>
      </c>
      <c r="E252" t="s">
        <v>327</v>
      </c>
      <c r="F252" t="s">
        <v>22</v>
      </c>
      <c r="G252">
        <v>741</v>
      </c>
      <c r="H252">
        <v>114</v>
      </c>
      <c r="I252">
        <v>73</v>
      </c>
      <c r="J252">
        <v>25</v>
      </c>
      <c r="K252">
        <v>148950</v>
      </c>
      <c r="L252" s="1">
        <f t="shared" si="13"/>
        <v>0.15384615384615385</v>
      </c>
      <c r="M252" s="1">
        <f t="shared" si="14"/>
        <v>0.64035087719298245</v>
      </c>
      <c r="N252" s="1">
        <f t="shared" si="15"/>
        <v>0.34246575342465752</v>
      </c>
    </row>
    <row r="253" spans="1:14" x14ac:dyDescent="0.3">
      <c r="A253" t="s">
        <v>340</v>
      </c>
      <c r="B253" s="2" t="s">
        <v>337</v>
      </c>
      <c r="C253" s="2" t="str">
        <f t="shared" si="12"/>
        <v>Mar-2024</v>
      </c>
      <c r="D253" t="s">
        <v>20</v>
      </c>
      <c r="E253" t="s">
        <v>329</v>
      </c>
      <c r="F253" t="s">
        <v>24</v>
      </c>
      <c r="G253">
        <v>1141</v>
      </c>
      <c r="H253">
        <v>208</v>
      </c>
      <c r="I253">
        <v>110</v>
      </c>
      <c r="J253">
        <v>40</v>
      </c>
      <c r="K253">
        <v>594640</v>
      </c>
      <c r="L253" s="1">
        <f t="shared" si="13"/>
        <v>0.18229623137598597</v>
      </c>
      <c r="M253" s="1">
        <f t="shared" si="14"/>
        <v>0.52884615384615385</v>
      </c>
      <c r="N253" s="1">
        <f t="shared" si="15"/>
        <v>0.36363636363636365</v>
      </c>
    </row>
    <row r="254" spans="1:14" x14ac:dyDescent="0.3">
      <c r="A254" t="s">
        <v>341</v>
      </c>
      <c r="B254" s="2" t="s">
        <v>342</v>
      </c>
      <c r="C254" s="2" t="str">
        <f t="shared" si="12"/>
        <v>Mar-2024</v>
      </c>
      <c r="D254" t="s">
        <v>12</v>
      </c>
      <c r="E254" t="s">
        <v>325</v>
      </c>
      <c r="F254" t="s">
        <v>14</v>
      </c>
      <c r="G254">
        <v>945</v>
      </c>
      <c r="H254">
        <v>197</v>
      </c>
      <c r="I254">
        <v>90</v>
      </c>
      <c r="J254">
        <v>42</v>
      </c>
      <c r="K254">
        <v>325122</v>
      </c>
      <c r="L254" s="1">
        <f t="shared" si="13"/>
        <v>0.20846560846560847</v>
      </c>
      <c r="M254" s="1">
        <f t="shared" si="14"/>
        <v>0.45685279187817257</v>
      </c>
      <c r="N254" s="1">
        <f t="shared" si="15"/>
        <v>0.46666666666666667</v>
      </c>
    </row>
    <row r="255" spans="1:14" x14ac:dyDescent="0.3">
      <c r="A255" t="s">
        <v>343</v>
      </c>
      <c r="B255" s="2" t="s">
        <v>342</v>
      </c>
      <c r="C255" s="2" t="str">
        <f t="shared" si="12"/>
        <v>Mar-2024</v>
      </c>
      <c r="D255" t="s">
        <v>16</v>
      </c>
      <c r="E255" t="s">
        <v>327</v>
      </c>
      <c r="F255" t="s">
        <v>18</v>
      </c>
      <c r="G255">
        <v>1801</v>
      </c>
      <c r="H255">
        <v>187</v>
      </c>
      <c r="I255">
        <v>110</v>
      </c>
      <c r="J255">
        <v>48</v>
      </c>
      <c r="K255">
        <v>436272</v>
      </c>
      <c r="L255" s="1">
        <f t="shared" si="13"/>
        <v>0.10383120488617435</v>
      </c>
      <c r="M255" s="1">
        <f t="shared" si="14"/>
        <v>0.58823529411764708</v>
      </c>
      <c r="N255" s="1">
        <f t="shared" si="15"/>
        <v>0.43636363636363634</v>
      </c>
    </row>
    <row r="256" spans="1:14" x14ac:dyDescent="0.3">
      <c r="A256" t="s">
        <v>344</v>
      </c>
      <c r="B256" s="2" t="s">
        <v>342</v>
      </c>
      <c r="C256" s="2" t="str">
        <f t="shared" si="12"/>
        <v>Mar-2024</v>
      </c>
      <c r="D256" t="s">
        <v>20</v>
      </c>
      <c r="E256" t="s">
        <v>329</v>
      </c>
      <c r="F256" t="s">
        <v>22</v>
      </c>
      <c r="G256">
        <v>1386</v>
      </c>
      <c r="H256">
        <v>173</v>
      </c>
      <c r="I256">
        <v>82</v>
      </c>
      <c r="J256">
        <v>26</v>
      </c>
      <c r="K256">
        <v>190710</v>
      </c>
      <c r="L256" s="1">
        <f t="shared" si="13"/>
        <v>0.12481962481962482</v>
      </c>
      <c r="M256" s="1">
        <f t="shared" si="14"/>
        <v>0.47398843930635837</v>
      </c>
      <c r="N256" s="1">
        <f t="shared" si="15"/>
        <v>0.31707317073170732</v>
      </c>
    </row>
    <row r="257" spans="1:14" x14ac:dyDescent="0.3">
      <c r="A257" t="s">
        <v>345</v>
      </c>
      <c r="B257" s="2" t="s">
        <v>342</v>
      </c>
      <c r="C257" s="2" t="str">
        <f t="shared" si="12"/>
        <v>Mar-2024</v>
      </c>
      <c r="D257" t="s">
        <v>12</v>
      </c>
      <c r="E257" t="s">
        <v>325</v>
      </c>
      <c r="F257" t="s">
        <v>24</v>
      </c>
      <c r="G257">
        <v>1682</v>
      </c>
      <c r="H257">
        <v>417</v>
      </c>
      <c r="I257">
        <v>283</v>
      </c>
      <c r="J257">
        <v>106</v>
      </c>
      <c r="K257">
        <v>431420</v>
      </c>
      <c r="L257" s="1">
        <f t="shared" si="13"/>
        <v>0.24791914387633771</v>
      </c>
      <c r="M257" s="1">
        <f t="shared" si="14"/>
        <v>0.67865707434052758</v>
      </c>
      <c r="N257" s="1">
        <f t="shared" si="15"/>
        <v>0.37455830388692579</v>
      </c>
    </row>
    <row r="258" spans="1:14" x14ac:dyDescent="0.3">
      <c r="A258" t="s">
        <v>346</v>
      </c>
      <c r="B258" s="2" t="s">
        <v>347</v>
      </c>
      <c r="C258" s="2" t="str">
        <f t="shared" si="12"/>
        <v>Mar-2024</v>
      </c>
      <c r="D258" t="s">
        <v>16</v>
      </c>
      <c r="E258" t="s">
        <v>327</v>
      </c>
      <c r="F258" t="s">
        <v>14</v>
      </c>
      <c r="G258">
        <v>1198</v>
      </c>
      <c r="H258">
        <v>270</v>
      </c>
      <c r="I258">
        <v>152</v>
      </c>
      <c r="J258">
        <v>46</v>
      </c>
      <c r="K258">
        <v>601772</v>
      </c>
      <c r="L258" s="1">
        <f t="shared" si="13"/>
        <v>0.22537562604340566</v>
      </c>
      <c r="M258" s="1">
        <f t="shared" si="14"/>
        <v>0.562962962962963</v>
      </c>
      <c r="N258" s="1">
        <f t="shared" si="15"/>
        <v>0.30263157894736842</v>
      </c>
    </row>
    <row r="259" spans="1:14" x14ac:dyDescent="0.3">
      <c r="A259" t="s">
        <v>348</v>
      </c>
      <c r="B259" s="2" t="s">
        <v>347</v>
      </c>
      <c r="C259" s="2" t="str">
        <f t="shared" ref="C259:C322" si="16">TEXT(B259,"MMM-YYYY")</f>
        <v>Mar-2024</v>
      </c>
      <c r="D259" t="s">
        <v>20</v>
      </c>
      <c r="E259" t="s">
        <v>329</v>
      </c>
      <c r="F259" t="s">
        <v>18</v>
      </c>
      <c r="G259">
        <v>954</v>
      </c>
      <c r="H259">
        <v>183</v>
      </c>
      <c r="I259">
        <v>98</v>
      </c>
      <c r="J259">
        <v>30</v>
      </c>
      <c r="K259">
        <v>342720</v>
      </c>
      <c r="L259" s="1">
        <f t="shared" ref="L259:L322" si="17">H259/G259</f>
        <v>0.1918238993710692</v>
      </c>
      <c r="M259" s="1">
        <f t="shared" ref="M259:M322" si="18">I259/H259</f>
        <v>0.53551912568306015</v>
      </c>
      <c r="N259" s="1">
        <f t="shared" ref="N259:N322" si="19">J259/I259</f>
        <v>0.30612244897959184</v>
      </c>
    </row>
    <row r="260" spans="1:14" x14ac:dyDescent="0.3">
      <c r="A260" t="s">
        <v>349</v>
      </c>
      <c r="B260" s="2" t="s">
        <v>347</v>
      </c>
      <c r="C260" s="2" t="str">
        <f t="shared" si="16"/>
        <v>Mar-2024</v>
      </c>
      <c r="D260" t="s">
        <v>12</v>
      </c>
      <c r="E260" t="s">
        <v>325</v>
      </c>
      <c r="F260" t="s">
        <v>22</v>
      </c>
      <c r="G260">
        <v>1330</v>
      </c>
      <c r="H260">
        <v>328</v>
      </c>
      <c r="I260">
        <v>252</v>
      </c>
      <c r="J260">
        <v>64</v>
      </c>
      <c r="K260">
        <v>525248</v>
      </c>
      <c r="L260" s="1">
        <f t="shared" si="17"/>
        <v>0.24661654135338346</v>
      </c>
      <c r="M260" s="1">
        <f t="shared" si="18"/>
        <v>0.76829268292682928</v>
      </c>
      <c r="N260" s="1">
        <f t="shared" si="19"/>
        <v>0.25396825396825395</v>
      </c>
    </row>
    <row r="261" spans="1:14" x14ac:dyDescent="0.3">
      <c r="A261" t="s">
        <v>350</v>
      </c>
      <c r="B261" s="2" t="s">
        <v>347</v>
      </c>
      <c r="C261" s="2" t="str">
        <f t="shared" si="16"/>
        <v>Mar-2024</v>
      </c>
      <c r="D261" t="s">
        <v>16</v>
      </c>
      <c r="E261" t="s">
        <v>327</v>
      </c>
      <c r="F261" t="s">
        <v>24</v>
      </c>
      <c r="G261">
        <v>1630</v>
      </c>
      <c r="H261">
        <v>419</v>
      </c>
      <c r="I261">
        <v>225</v>
      </c>
      <c r="J261">
        <v>47</v>
      </c>
      <c r="K261">
        <v>563953</v>
      </c>
      <c r="L261" s="1">
        <f t="shared" si="17"/>
        <v>0.2570552147239264</v>
      </c>
      <c r="M261" s="1">
        <f t="shared" si="18"/>
        <v>0.53699284009546544</v>
      </c>
      <c r="N261" s="1">
        <f t="shared" si="19"/>
        <v>0.2088888888888889</v>
      </c>
    </row>
    <row r="262" spans="1:14" x14ac:dyDescent="0.3">
      <c r="A262" t="s">
        <v>351</v>
      </c>
      <c r="B262" s="2" t="s">
        <v>352</v>
      </c>
      <c r="C262" s="2" t="str">
        <f t="shared" si="16"/>
        <v>Mar-2024</v>
      </c>
      <c r="D262" t="s">
        <v>20</v>
      </c>
      <c r="E262" t="s">
        <v>329</v>
      </c>
      <c r="F262" t="s">
        <v>14</v>
      </c>
      <c r="G262">
        <v>790</v>
      </c>
      <c r="H262">
        <v>88</v>
      </c>
      <c r="I262">
        <v>66</v>
      </c>
      <c r="J262">
        <v>30</v>
      </c>
      <c r="K262">
        <v>127350</v>
      </c>
      <c r="L262" s="1">
        <f t="shared" si="17"/>
        <v>0.11139240506329114</v>
      </c>
      <c r="M262" s="1">
        <f t="shared" si="18"/>
        <v>0.75</v>
      </c>
      <c r="N262" s="1">
        <f t="shared" si="19"/>
        <v>0.45454545454545453</v>
      </c>
    </row>
    <row r="263" spans="1:14" x14ac:dyDescent="0.3">
      <c r="A263" t="s">
        <v>353</v>
      </c>
      <c r="B263" s="2" t="s">
        <v>352</v>
      </c>
      <c r="C263" s="2" t="str">
        <f t="shared" si="16"/>
        <v>Mar-2024</v>
      </c>
      <c r="D263" t="s">
        <v>12</v>
      </c>
      <c r="E263" t="s">
        <v>325</v>
      </c>
      <c r="F263" t="s">
        <v>18</v>
      </c>
      <c r="G263">
        <v>1910</v>
      </c>
      <c r="H263">
        <v>405</v>
      </c>
      <c r="I263">
        <v>265</v>
      </c>
      <c r="J263">
        <v>112</v>
      </c>
      <c r="K263">
        <v>1211280</v>
      </c>
      <c r="L263" s="1">
        <f t="shared" si="17"/>
        <v>0.21204188481675393</v>
      </c>
      <c r="M263" s="1">
        <f t="shared" si="18"/>
        <v>0.65432098765432101</v>
      </c>
      <c r="N263" s="1">
        <f t="shared" si="19"/>
        <v>0.42264150943396228</v>
      </c>
    </row>
    <row r="264" spans="1:14" x14ac:dyDescent="0.3">
      <c r="A264" t="s">
        <v>354</v>
      </c>
      <c r="B264" s="2" t="s">
        <v>352</v>
      </c>
      <c r="C264" s="2" t="str">
        <f t="shared" si="16"/>
        <v>Mar-2024</v>
      </c>
      <c r="D264" t="s">
        <v>16</v>
      </c>
      <c r="E264" t="s">
        <v>327</v>
      </c>
      <c r="F264" t="s">
        <v>22</v>
      </c>
      <c r="G264">
        <v>755</v>
      </c>
      <c r="H264">
        <v>213</v>
      </c>
      <c r="I264">
        <v>151</v>
      </c>
      <c r="J264">
        <v>33</v>
      </c>
      <c r="K264">
        <v>397023</v>
      </c>
      <c r="L264" s="1">
        <f t="shared" si="17"/>
        <v>0.28211920529801326</v>
      </c>
      <c r="M264" s="1">
        <f t="shared" si="18"/>
        <v>0.70892018779342725</v>
      </c>
      <c r="N264" s="1">
        <f t="shared" si="19"/>
        <v>0.2185430463576159</v>
      </c>
    </row>
    <row r="265" spans="1:14" x14ac:dyDescent="0.3">
      <c r="A265" t="s">
        <v>355</v>
      </c>
      <c r="B265" s="2" t="s">
        <v>352</v>
      </c>
      <c r="C265" s="2" t="str">
        <f t="shared" si="16"/>
        <v>Mar-2024</v>
      </c>
      <c r="D265" t="s">
        <v>20</v>
      </c>
      <c r="E265" t="s">
        <v>329</v>
      </c>
      <c r="F265" t="s">
        <v>24</v>
      </c>
      <c r="G265">
        <v>768</v>
      </c>
      <c r="H265">
        <v>145</v>
      </c>
      <c r="I265">
        <v>65</v>
      </c>
      <c r="J265">
        <v>18</v>
      </c>
      <c r="K265">
        <v>110430</v>
      </c>
      <c r="L265" s="1">
        <f t="shared" si="17"/>
        <v>0.18880208333333334</v>
      </c>
      <c r="M265" s="1">
        <f t="shared" si="18"/>
        <v>0.44827586206896552</v>
      </c>
      <c r="N265" s="1">
        <f t="shared" si="19"/>
        <v>0.27692307692307694</v>
      </c>
    </row>
    <row r="266" spans="1:14" x14ac:dyDescent="0.3">
      <c r="A266" t="s">
        <v>356</v>
      </c>
      <c r="B266" s="2" t="s">
        <v>357</v>
      </c>
      <c r="C266" s="2" t="str">
        <f t="shared" si="16"/>
        <v>Mar-2024</v>
      </c>
      <c r="D266" t="s">
        <v>12</v>
      </c>
      <c r="E266" t="s">
        <v>325</v>
      </c>
      <c r="F266" t="s">
        <v>14</v>
      </c>
      <c r="G266">
        <v>1556</v>
      </c>
      <c r="H266">
        <v>456</v>
      </c>
      <c r="I266">
        <v>326</v>
      </c>
      <c r="J266">
        <v>130</v>
      </c>
      <c r="K266">
        <v>593710</v>
      </c>
      <c r="L266" s="1">
        <f t="shared" si="17"/>
        <v>0.29305912596401029</v>
      </c>
      <c r="M266" s="1">
        <f t="shared" si="18"/>
        <v>0.71491228070175439</v>
      </c>
      <c r="N266" s="1">
        <f t="shared" si="19"/>
        <v>0.3987730061349693</v>
      </c>
    </row>
    <row r="267" spans="1:14" x14ac:dyDescent="0.3">
      <c r="A267" t="s">
        <v>358</v>
      </c>
      <c r="B267" s="2" t="s">
        <v>357</v>
      </c>
      <c r="C267" s="2" t="str">
        <f t="shared" si="16"/>
        <v>Mar-2024</v>
      </c>
      <c r="D267" t="s">
        <v>16</v>
      </c>
      <c r="E267" t="s">
        <v>327</v>
      </c>
      <c r="F267" t="s">
        <v>18</v>
      </c>
      <c r="G267">
        <v>1578</v>
      </c>
      <c r="H267">
        <v>201</v>
      </c>
      <c r="I267">
        <v>126</v>
      </c>
      <c r="J267">
        <v>37</v>
      </c>
      <c r="K267">
        <v>447737</v>
      </c>
      <c r="L267" s="1">
        <f t="shared" si="17"/>
        <v>0.12737642585551331</v>
      </c>
      <c r="M267" s="1">
        <f t="shared" si="18"/>
        <v>0.62686567164179108</v>
      </c>
      <c r="N267" s="1">
        <f t="shared" si="19"/>
        <v>0.29365079365079366</v>
      </c>
    </row>
    <row r="268" spans="1:14" x14ac:dyDescent="0.3">
      <c r="A268" t="s">
        <v>359</v>
      </c>
      <c r="B268" s="2" t="s">
        <v>357</v>
      </c>
      <c r="C268" s="2" t="str">
        <f t="shared" si="16"/>
        <v>Mar-2024</v>
      </c>
      <c r="D268" t="s">
        <v>20</v>
      </c>
      <c r="E268" t="s">
        <v>329</v>
      </c>
      <c r="F268" t="s">
        <v>22</v>
      </c>
      <c r="G268">
        <v>1316</v>
      </c>
      <c r="H268">
        <v>180</v>
      </c>
      <c r="I268">
        <v>114</v>
      </c>
      <c r="J268">
        <v>25</v>
      </c>
      <c r="K268">
        <v>230400</v>
      </c>
      <c r="L268" s="1">
        <f t="shared" si="17"/>
        <v>0.13677811550151975</v>
      </c>
      <c r="M268" s="1">
        <f t="shared" si="18"/>
        <v>0.6333333333333333</v>
      </c>
      <c r="N268" s="1">
        <f t="shared" si="19"/>
        <v>0.21929824561403508</v>
      </c>
    </row>
    <row r="269" spans="1:14" x14ac:dyDescent="0.3">
      <c r="A269" t="s">
        <v>360</v>
      </c>
      <c r="B269" s="2" t="s">
        <v>357</v>
      </c>
      <c r="C269" s="2" t="str">
        <f t="shared" si="16"/>
        <v>Mar-2024</v>
      </c>
      <c r="D269" t="s">
        <v>12</v>
      </c>
      <c r="E269" t="s">
        <v>325</v>
      </c>
      <c r="F269" t="s">
        <v>24</v>
      </c>
      <c r="G269">
        <v>718</v>
      </c>
      <c r="H269">
        <v>142</v>
      </c>
      <c r="I269">
        <v>89</v>
      </c>
      <c r="J269">
        <v>24</v>
      </c>
      <c r="K269">
        <v>227880</v>
      </c>
      <c r="L269" s="1">
        <f t="shared" si="17"/>
        <v>0.1977715877437326</v>
      </c>
      <c r="M269" s="1">
        <f t="shared" si="18"/>
        <v>0.62676056338028174</v>
      </c>
      <c r="N269" s="1">
        <f t="shared" si="19"/>
        <v>0.2696629213483146</v>
      </c>
    </row>
    <row r="270" spans="1:14" x14ac:dyDescent="0.3">
      <c r="A270" t="s">
        <v>361</v>
      </c>
      <c r="B270" s="2" t="s">
        <v>362</v>
      </c>
      <c r="C270" s="2" t="str">
        <f t="shared" si="16"/>
        <v>Mar-2024</v>
      </c>
      <c r="D270" t="s">
        <v>16</v>
      </c>
      <c r="E270" t="s">
        <v>327</v>
      </c>
      <c r="F270" t="s">
        <v>14</v>
      </c>
      <c r="G270">
        <v>1556</v>
      </c>
      <c r="H270">
        <v>387</v>
      </c>
      <c r="I270">
        <v>246</v>
      </c>
      <c r="J270">
        <v>51</v>
      </c>
      <c r="K270">
        <v>379644</v>
      </c>
      <c r="L270" s="1">
        <f t="shared" si="17"/>
        <v>0.24871465295629819</v>
      </c>
      <c r="M270" s="1">
        <f t="shared" si="18"/>
        <v>0.63565891472868219</v>
      </c>
      <c r="N270" s="1">
        <f t="shared" si="19"/>
        <v>0.2073170731707317</v>
      </c>
    </row>
    <row r="271" spans="1:14" x14ac:dyDescent="0.3">
      <c r="A271" t="s">
        <v>363</v>
      </c>
      <c r="B271" s="2" t="s">
        <v>362</v>
      </c>
      <c r="C271" s="2" t="str">
        <f t="shared" si="16"/>
        <v>Mar-2024</v>
      </c>
      <c r="D271" t="s">
        <v>20</v>
      </c>
      <c r="E271" t="s">
        <v>329</v>
      </c>
      <c r="F271" t="s">
        <v>18</v>
      </c>
      <c r="G271">
        <v>1214</v>
      </c>
      <c r="H271">
        <v>291</v>
      </c>
      <c r="I271">
        <v>207</v>
      </c>
      <c r="J271">
        <v>101</v>
      </c>
      <c r="K271">
        <v>1313707</v>
      </c>
      <c r="L271" s="1">
        <f t="shared" si="17"/>
        <v>0.23970345963756179</v>
      </c>
      <c r="M271" s="1">
        <f t="shared" si="18"/>
        <v>0.71134020618556704</v>
      </c>
      <c r="N271" s="1">
        <f t="shared" si="19"/>
        <v>0.48792270531400966</v>
      </c>
    </row>
    <row r="272" spans="1:14" x14ac:dyDescent="0.3">
      <c r="A272" t="s">
        <v>364</v>
      </c>
      <c r="B272" s="2" t="s">
        <v>362</v>
      </c>
      <c r="C272" s="2" t="str">
        <f t="shared" si="16"/>
        <v>Mar-2024</v>
      </c>
      <c r="D272" t="s">
        <v>12</v>
      </c>
      <c r="E272" t="s">
        <v>325</v>
      </c>
      <c r="F272" t="s">
        <v>22</v>
      </c>
      <c r="G272">
        <v>793</v>
      </c>
      <c r="H272">
        <v>129</v>
      </c>
      <c r="I272">
        <v>91</v>
      </c>
      <c r="J272">
        <v>34</v>
      </c>
      <c r="K272">
        <v>244256</v>
      </c>
      <c r="L272" s="1">
        <f t="shared" si="17"/>
        <v>0.16267339218158891</v>
      </c>
      <c r="M272" s="1">
        <f t="shared" si="18"/>
        <v>0.70542635658914732</v>
      </c>
      <c r="N272" s="1">
        <f t="shared" si="19"/>
        <v>0.37362637362637363</v>
      </c>
    </row>
    <row r="273" spans="1:14" x14ac:dyDescent="0.3">
      <c r="A273" t="s">
        <v>365</v>
      </c>
      <c r="B273" s="2" t="s">
        <v>362</v>
      </c>
      <c r="C273" s="2" t="str">
        <f t="shared" si="16"/>
        <v>Mar-2024</v>
      </c>
      <c r="D273" t="s">
        <v>16</v>
      </c>
      <c r="E273" t="s">
        <v>327</v>
      </c>
      <c r="F273" t="s">
        <v>24</v>
      </c>
      <c r="G273">
        <v>1143</v>
      </c>
      <c r="H273">
        <v>125</v>
      </c>
      <c r="I273">
        <v>76</v>
      </c>
      <c r="J273">
        <v>32</v>
      </c>
      <c r="K273">
        <v>247360</v>
      </c>
      <c r="L273" s="1">
        <f t="shared" si="17"/>
        <v>0.10936132983377078</v>
      </c>
      <c r="M273" s="1">
        <f t="shared" si="18"/>
        <v>0.60799999999999998</v>
      </c>
      <c r="N273" s="1">
        <f t="shared" si="19"/>
        <v>0.42105263157894735</v>
      </c>
    </row>
    <row r="274" spans="1:14" x14ac:dyDescent="0.3">
      <c r="A274" t="s">
        <v>366</v>
      </c>
      <c r="B274" s="2" t="s">
        <v>367</v>
      </c>
      <c r="C274" s="2" t="str">
        <f t="shared" si="16"/>
        <v>Mar-2024</v>
      </c>
      <c r="D274" t="s">
        <v>20</v>
      </c>
      <c r="E274" t="s">
        <v>329</v>
      </c>
      <c r="F274" t="s">
        <v>14</v>
      </c>
      <c r="G274">
        <v>1758</v>
      </c>
      <c r="H274">
        <v>285</v>
      </c>
      <c r="I274">
        <v>207</v>
      </c>
      <c r="J274">
        <v>61</v>
      </c>
      <c r="K274">
        <v>576938</v>
      </c>
      <c r="L274" s="1">
        <f t="shared" si="17"/>
        <v>0.1621160409556314</v>
      </c>
      <c r="M274" s="1">
        <f t="shared" si="18"/>
        <v>0.72631578947368425</v>
      </c>
      <c r="N274" s="1">
        <f t="shared" si="19"/>
        <v>0.29468599033816423</v>
      </c>
    </row>
    <row r="275" spans="1:14" x14ac:dyDescent="0.3">
      <c r="A275" t="s">
        <v>368</v>
      </c>
      <c r="B275" s="2" t="s">
        <v>367</v>
      </c>
      <c r="C275" s="2" t="str">
        <f t="shared" si="16"/>
        <v>Mar-2024</v>
      </c>
      <c r="D275" t="s">
        <v>12</v>
      </c>
      <c r="E275" t="s">
        <v>325</v>
      </c>
      <c r="F275" t="s">
        <v>18</v>
      </c>
      <c r="G275">
        <v>1248</v>
      </c>
      <c r="H275">
        <v>288</v>
      </c>
      <c r="I275">
        <v>204</v>
      </c>
      <c r="J275">
        <v>45</v>
      </c>
      <c r="K275">
        <v>287550</v>
      </c>
      <c r="L275" s="1">
        <f t="shared" si="17"/>
        <v>0.23076923076923078</v>
      </c>
      <c r="M275" s="1">
        <f t="shared" si="18"/>
        <v>0.70833333333333337</v>
      </c>
      <c r="N275" s="1">
        <f t="shared" si="19"/>
        <v>0.22058823529411764</v>
      </c>
    </row>
    <row r="276" spans="1:14" x14ac:dyDescent="0.3">
      <c r="A276" t="s">
        <v>369</v>
      </c>
      <c r="B276" s="2" t="s">
        <v>367</v>
      </c>
      <c r="C276" s="2" t="str">
        <f t="shared" si="16"/>
        <v>Mar-2024</v>
      </c>
      <c r="D276" t="s">
        <v>16</v>
      </c>
      <c r="E276" t="s">
        <v>327</v>
      </c>
      <c r="F276" t="s">
        <v>22</v>
      </c>
      <c r="G276">
        <v>517</v>
      </c>
      <c r="H276">
        <v>108</v>
      </c>
      <c r="I276">
        <v>79</v>
      </c>
      <c r="J276">
        <v>24</v>
      </c>
      <c r="K276">
        <v>223536</v>
      </c>
      <c r="L276" s="1">
        <f t="shared" si="17"/>
        <v>0.20889748549323017</v>
      </c>
      <c r="M276" s="1">
        <f t="shared" si="18"/>
        <v>0.73148148148148151</v>
      </c>
      <c r="N276" s="1">
        <f t="shared" si="19"/>
        <v>0.30379746835443039</v>
      </c>
    </row>
    <row r="277" spans="1:14" x14ac:dyDescent="0.3">
      <c r="A277" t="s">
        <v>370</v>
      </c>
      <c r="B277" s="2" t="s">
        <v>367</v>
      </c>
      <c r="C277" s="2" t="str">
        <f t="shared" si="16"/>
        <v>Mar-2024</v>
      </c>
      <c r="D277" t="s">
        <v>20</v>
      </c>
      <c r="E277" t="s">
        <v>329</v>
      </c>
      <c r="F277" t="s">
        <v>24</v>
      </c>
      <c r="G277">
        <v>1207</v>
      </c>
      <c r="H277">
        <v>174</v>
      </c>
      <c r="I277">
        <v>127</v>
      </c>
      <c r="J277">
        <v>33</v>
      </c>
      <c r="K277">
        <v>243705</v>
      </c>
      <c r="L277" s="1">
        <f t="shared" si="17"/>
        <v>0.14415907207953604</v>
      </c>
      <c r="M277" s="1">
        <f t="shared" si="18"/>
        <v>0.72988505747126442</v>
      </c>
      <c r="N277" s="1">
        <f t="shared" si="19"/>
        <v>0.25984251968503935</v>
      </c>
    </row>
    <row r="278" spans="1:14" x14ac:dyDescent="0.3">
      <c r="A278" t="s">
        <v>371</v>
      </c>
      <c r="B278" s="2" t="s">
        <v>372</v>
      </c>
      <c r="C278" s="2" t="str">
        <f t="shared" si="16"/>
        <v>Mar-2024</v>
      </c>
      <c r="D278" t="s">
        <v>12</v>
      </c>
      <c r="E278" t="s">
        <v>325</v>
      </c>
      <c r="F278" t="s">
        <v>14</v>
      </c>
      <c r="G278">
        <v>1154</v>
      </c>
      <c r="H278">
        <v>158</v>
      </c>
      <c r="I278">
        <v>93</v>
      </c>
      <c r="J278">
        <v>25</v>
      </c>
      <c r="K278">
        <v>236225</v>
      </c>
      <c r="L278" s="1">
        <f t="shared" si="17"/>
        <v>0.1369150779896014</v>
      </c>
      <c r="M278" s="1">
        <f t="shared" si="18"/>
        <v>0.58860759493670889</v>
      </c>
      <c r="N278" s="1">
        <f t="shared" si="19"/>
        <v>0.26881720430107525</v>
      </c>
    </row>
    <row r="279" spans="1:14" x14ac:dyDescent="0.3">
      <c r="A279" t="s">
        <v>373</v>
      </c>
      <c r="B279" s="2" t="s">
        <v>372</v>
      </c>
      <c r="C279" s="2" t="str">
        <f t="shared" si="16"/>
        <v>Mar-2024</v>
      </c>
      <c r="D279" t="s">
        <v>16</v>
      </c>
      <c r="E279" t="s">
        <v>327</v>
      </c>
      <c r="F279" t="s">
        <v>18</v>
      </c>
      <c r="G279">
        <v>1459</v>
      </c>
      <c r="H279">
        <v>362</v>
      </c>
      <c r="I279">
        <v>242</v>
      </c>
      <c r="J279">
        <v>50</v>
      </c>
      <c r="K279">
        <v>205650</v>
      </c>
      <c r="L279" s="1">
        <f t="shared" si="17"/>
        <v>0.2481151473612063</v>
      </c>
      <c r="M279" s="1">
        <f t="shared" si="18"/>
        <v>0.66850828729281764</v>
      </c>
      <c r="N279" s="1">
        <f t="shared" si="19"/>
        <v>0.20661157024793389</v>
      </c>
    </row>
    <row r="280" spans="1:14" x14ac:dyDescent="0.3">
      <c r="A280" t="s">
        <v>374</v>
      </c>
      <c r="B280" s="2" t="s">
        <v>372</v>
      </c>
      <c r="C280" s="2" t="str">
        <f t="shared" si="16"/>
        <v>Mar-2024</v>
      </c>
      <c r="D280" t="s">
        <v>20</v>
      </c>
      <c r="E280" t="s">
        <v>329</v>
      </c>
      <c r="F280" t="s">
        <v>22</v>
      </c>
      <c r="G280">
        <v>1830</v>
      </c>
      <c r="H280">
        <v>245</v>
      </c>
      <c r="I280">
        <v>158</v>
      </c>
      <c r="J280">
        <v>60</v>
      </c>
      <c r="K280">
        <v>866280</v>
      </c>
      <c r="L280" s="1">
        <f t="shared" si="17"/>
        <v>0.13387978142076504</v>
      </c>
      <c r="M280" s="1">
        <f t="shared" si="18"/>
        <v>0.64489795918367343</v>
      </c>
      <c r="N280" s="1">
        <f t="shared" si="19"/>
        <v>0.379746835443038</v>
      </c>
    </row>
    <row r="281" spans="1:14" x14ac:dyDescent="0.3">
      <c r="A281" t="s">
        <v>375</v>
      </c>
      <c r="B281" s="2" t="s">
        <v>372</v>
      </c>
      <c r="C281" s="2" t="str">
        <f t="shared" si="16"/>
        <v>Mar-2024</v>
      </c>
      <c r="D281" t="s">
        <v>12</v>
      </c>
      <c r="E281" t="s">
        <v>325</v>
      </c>
      <c r="F281" t="s">
        <v>24</v>
      </c>
      <c r="G281">
        <v>1014</v>
      </c>
      <c r="H281">
        <v>238</v>
      </c>
      <c r="I281">
        <v>160</v>
      </c>
      <c r="J281">
        <v>53</v>
      </c>
      <c r="K281">
        <v>275229</v>
      </c>
      <c r="L281" s="1">
        <f t="shared" si="17"/>
        <v>0.23471400394477318</v>
      </c>
      <c r="M281" s="1">
        <f t="shared" si="18"/>
        <v>0.67226890756302526</v>
      </c>
      <c r="N281" s="1">
        <f t="shared" si="19"/>
        <v>0.33124999999999999</v>
      </c>
    </row>
    <row r="282" spans="1:14" x14ac:dyDescent="0.3">
      <c r="A282" t="s">
        <v>376</v>
      </c>
      <c r="B282" s="2" t="s">
        <v>377</v>
      </c>
      <c r="C282" s="2" t="str">
        <f t="shared" si="16"/>
        <v>Mar-2024</v>
      </c>
      <c r="D282" t="s">
        <v>16</v>
      </c>
      <c r="E282" t="s">
        <v>327</v>
      </c>
      <c r="F282" t="s">
        <v>14</v>
      </c>
      <c r="G282">
        <v>605</v>
      </c>
      <c r="H282">
        <v>73</v>
      </c>
      <c r="I282">
        <v>53</v>
      </c>
      <c r="J282">
        <v>25</v>
      </c>
      <c r="K282">
        <v>244775</v>
      </c>
      <c r="L282" s="1">
        <f t="shared" si="17"/>
        <v>0.12066115702479339</v>
      </c>
      <c r="M282" s="1">
        <f t="shared" si="18"/>
        <v>0.72602739726027399</v>
      </c>
      <c r="N282" s="1">
        <f t="shared" si="19"/>
        <v>0.47169811320754718</v>
      </c>
    </row>
    <row r="283" spans="1:14" x14ac:dyDescent="0.3">
      <c r="A283" t="s">
        <v>378</v>
      </c>
      <c r="B283" s="2" t="s">
        <v>377</v>
      </c>
      <c r="C283" s="2" t="str">
        <f t="shared" si="16"/>
        <v>Mar-2024</v>
      </c>
      <c r="D283" t="s">
        <v>20</v>
      </c>
      <c r="E283" t="s">
        <v>329</v>
      </c>
      <c r="F283" t="s">
        <v>18</v>
      </c>
      <c r="G283">
        <v>1821</v>
      </c>
      <c r="H283">
        <v>337</v>
      </c>
      <c r="I283">
        <v>169</v>
      </c>
      <c r="J283">
        <v>60</v>
      </c>
      <c r="K283">
        <v>776940</v>
      </c>
      <c r="L283" s="1">
        <f t="shared" si="17"/>
        <v>0.18506315211422295</v>
      </c>
      <c r="M283" s="1">
        <f t="shared" si="18"/>
        <v>0.50148367952522255</v>
      </c>
      <c r="N283" s="1">
        <f t="shared" si="19"/>
        <v>0.35502958579881655</v>
      </c>
    </row>
    <row r="284" spans="1:14" x14ac:dyDescent="0.3">
      <c r="A284" t="s">
        <v>379</v>
      </c>
      <c r="B284" s="2" t="s">
        <v>377</v>
      </c>
      <c r="C284" s="2" t="str">
        <f t="shared" si="16"/>
        <v>Mar-2024</v>
      </c>
      <c r="D284" t="s">
        <v>12</v>
      </c>
      <c r="E284" t="s">
        <v>325</v>
      </c>
      <c r="F284" t="s">
        <v>22</v>
      </c>
      <c r="G284">
        <v>744</v>
      </c>
      <c r="H284">
        <v>113</v>
      </c>
      <c r="I284">
        <v>60</v>
      </c>
      <c r="J284">
        <v>20</v>
      </c>
      <c r="K284">
        <v>233480</v>
      </c>
      <c r="L284" s="1">
        <f t="shared" si="17"/>
        <v>0.15188172043010753</v>
      </c>
      <c r="M284" s="1">
        <f t="shared" si="18"/>
        <v>0.53097345132743368</v>
      </c>
      <c r="N284" s="1">
        <f t="shared" si="19"/>
        <v>0.33333333333333331</v>
      </c>
    </row>
    <row r="285" spans="1:14" x14ac:dyDescent="0.3">
      <c r="A285" t="s">
        <v>380</v>
      </c>
      <c r="B285" s="2" t="s">
        <v>377</v>
      </c>
      <c r="C285" s="2" t="str">
        <f t="shared" si="16"/>
        <v>Mar-2024</v>
      </c>
      <c r="D285" t="s">
        <v>16</v>
      </c>
      <c r="E285" t="s">
        <v>327</v>
      </c>
      <c r="F285" t="s">
        <v>24</v>
      </c>
      <c r="G285">
        <v>1315</v>
      </c>
      <c r="H285">
        <v>219</v>
      </c>
      <c r="I285">
        <v>168</v>
      </c>
      <c r="J285">
        <v>74</v>
      </c>
      <c r="K285">
        <v>305176</v>
      </c>
      <c r="L285" s="1">
        <f t="shared" si="17"/>
        <v>0.16653992395437262</v>
      </c>
      <c r="M285" s="1">
        <f t="shared" si="18"/>
        <v>0.76712328767123283</v>
      </c>
      <c r="N285" s="1">
        <f t="shared" si="19"/>
        <v>0.44047619047619047</v>
      </c>
    </row>
    <row r="286" spans="1:14" x14ac:dyDescent="0.3">
      <c r="A286" t="s">
        <v>381</v>
      </c>
      <c r="B286" s="2" t="s">
        <v>382</v>
      </c>
      <c r="C286" s="2" t="str">
        <f t="shared" si="16"/>
        <v>Mar-2024</v>
      </c>
      <c r="D286" t="s">
        <v>20</v>
      </c>
      <c r="E286" t="s">
        <v>329</v>
      </c>
      <c r="F286" t="s">
        <v>14</v>
      </c>
      <c r="G286">
        <v>707</v>
      </c>
      <c r="H286">
        <v>120</v>
      </c>
      <c r="I286">
        <v>53</v>
      </c>
      <c r="J286">
        <v>17</v>
      </c>
      <c r="K286">
        <v>200770</v>
      </c>
      <c r="L286" s="1">
        <f t="shared" si="17"/>
        <v>0.16973125884016974</v>
      </c>
      <c r="M286" s="1">
        <f t="shared" si="18"/>
        <v>0.44166666666666665</v>
      </c>
      <c r="N286" s="1">
        <f t="shared" si="19"/>
        <v>0.32075471698113206</v>
      </c>
    </row>
    <row r="287" spans="1:14" x14ac:dyDescent="0.3">
      <c r="A287" t="s">
        <v>383</v>
      </c>
      <c r="B287" s="2" t="s">
        <v>382</v>
      </c>
      <c r="C287" s="2" t="str">
        <f t="shared" si="16"/>
        <v>Mar-2024</v>
      </c>
      <c r="D287" t="s">
        <v>12</v>
      </c>
      <c r="E287" t="s">
        <v>325</v>
      </c>
      <c r="F287" t="s">
        <v>18</v>
      </c>
      <c r="G287">
        <v>1667</v>
      </c>
      <c r="H287">
        <v>337</v>
      </c>
      <c r="I287">
        <v>135</v>
      </c>
      <c r="J287">
        <v>64</v>
      </c>
      <c r="K287">
        <v>703104</v>
      </c>
      <c r="L287" s="1">
        <f t="shared" si="17"/>
        <v>0.20215956808638272</v>
      </c>
      <c r="M287" s="1">
        <f t="shared" si="18"/>
        <v>0.40059347181008903</v>
      </c>
      <c r="N287" s="1">
        <f t="shared" si="19"/>
        <v>0.47407407407407409</v>
      </c>
    </row>
    <row r="288" spans="1:14" x14ac:dyDescent="0.3">
      <c r="A288" t="s">
        <v>384</v>
      </c>
      <c r="B288" s="2" t="s">
        <v>382</v>
      </c>
      <c r="C288" s="2" t="str">
        <f t="shared" si="16"/>
        <v>Mar-2024</v>
      </c>
      <c r="D288" t="s">
        <v>16</v>
      </c>
      <c r="E288" t="s">
        <v>327</v>
      </c>
      <c r="F288" t="s">
        <v>22</v>
      </c>
      <c r="G288">
        <v>1229</v>
      </c>
      <c r="H288">
        <v>304</v>
      </c>
      <c r="I288">
        <v>224</v>
      </c>
      <c r="J288">
        <v>77</v>
      </c>
      <c r="K288">
        <v>1100946</v>
      </c>
      <c r="L288" s="1">
        <f t="shared" si="17"/>
        <v>0.24735557363710334</v>
      </c>
      <c r="M288" s="1">
        <f t="shared" si="18"/>
        <v>0.73684210526315785</v>
      </c>
      <c r="N288" s="1">
        <f t="shared" si="19"/>
        <v>0.34375</v>
      </c>
    </row>
    <row r="289" spans="1:14" x14ac:dyDescent="0.3">
      <c r="A289" t="s">
        <v>385</v>
      </c>
      <c r="B289" s="2" t="s">
        <v>382</v>
      </c>
      <c r="C289" s="2" t="str">
        <f t="shared" si="16"/>
        <v>Mar-2024</v>
      </c>
      <c r="D289" t="s">
        <v>20</v>
      </c>
      <c r="E289" t="s">
        <v>329</v>
      </c>
      <c r="F289" t="s">
        <v>24</v>
      </c>
      <c r="G289">
        <v>673</v>
      </c>
      <c r="H289">
        <v>96</v>
      </c>
      <c r="I289">
        <v>62</v>
      </c>
      <c r="J289">
        <v>22</v>
      </c>
      <c r="K289">
        <v>118162</v>
      </c>
      <c r="L289" s="1">
        <f t="shared" si="17"/>
        <v>0.1426448736998514</v>
      </c>
      <c r="M289" s="1">
        <f t="shared" si="18"/>
        <v>0.64583333333333337</v>
      </c>
      <c r="N289" s="1">
        <f t="shared" si="19"/>
        <v>0.35483870967741937</v>
      </c>
    </row>
    <row r="290" spans="1:14" x14ac:dyDescent="0.3">
      <c r="A290" t="s">
        <v>386</v>
      </c>
      <c r="B290" s="2" t="s">
        <v>387</v>
      </c>
      <c r="C290" s="2" t="str">
        <f t="shared" si="16"/>
        <v>Mar-2024</v>
      </c>
      <c r="D290" t="s">
        <v>12</v>
      </c>
      <c r="E290" t="s">
        <v>325</v>
      </c>
      <c r="F290" t="s">
        <v>14</v>
      </c>
      <c r="G290">
        <v>1635</v>
      </c>
      <c r="H290">
        <v>225</v>
      </c>
      <c r="I290">
        <v>99</v>
      </c>
      <c r="J290">
        <v>25</v>
      </c>
      <c r="K290">
        <v>169950</v>
      </c>
      <c r="L290" s="1">
        <f t="shared" si="17"/>
        <v>0.13761467889908258</v>
      </c>
      <c r="M290" s="1">
        <f t="shared" si="18"/>
        <v>0.44</v>
      </c>
      <c r="N290" s="1">
        <f t="shared" si="19"/>
        <v>0.25252525252525254</v>
      </c>
    </row>
    <row r="291" spans="1:14" x14ac:dyDescent="0.3">
      <c r="A291" t="s">
        <v>388</v>
      </c>
      <c r="B291" s="2" t="s">
        <v>387</v>
      </c>
      <c r="C291" s="2" t="str">
        <f t="shared" si="16"/>
        <v>Mar-2024</v>
      </c>
      <c r="D291" t="s">
        <v>16</v>
      </c>
      <c r="E291" t="s">
        <v>327</v>
      </c>
      <c r="F291" t="s">
        <v>18</v>
      </c>
      <c r="G291">
        <v>1156</v>
      </c>
      <c r="H291">
        <v>241</v>
      </c>
      <c r="I291">
        <v>178</v>
      </c>
      <c r="J291">
        <v>56</v>
      </c>
      <c r="K291">
        <v>277816</v>
      </c>
      <c r="L291" s="1">
        <f t="shared" si="17"/>
        <v>0.20847750865051903</v>
      </c>
      <c r="M291" s="1">
        <f t="shared" si="18"/>
        <v>0.7385892116182573</v>
      </c>
      <c r="N291" s="1">
        <f t="shared" si="19"/>
        <v>0.3146067415730337</v>
      </c>
    </row>
    <row r="292" spans="1:14" x14ac:dyDescent="0.3">
      <c r="A292" t="s">
        <v>389</v>
      </c>
      <c r="B292" s="2" t="s">
        <v>387</v>
      </c>
      <c r="C292" s="2" t="str">
        <f t="shared" si="16"/>
        <v>Mar-2024</v>
      </c>
      <c r="D292" t="s">
        <v>20</v>
      </c>
      <c r="E292" t="s">
        <v>329</v>
      </c>
      <c r="F292" t="s">
        <v>22</v>
      </c>
      <c r="G292">
        <v>1969</v>
      </c>
      <c r="H292">
        <v>317</v>
      </c>
      <c r="I292">
        <v>171</v>
      </c>
      <c r="J292">
        <v>37</v>
      </c>
      <c r="K292">
        <v>353498</v>
      </c>
      <c r="L292" s="1">
        <f t="shared" si="17"/>
        <v>0.16099542915185372</v>
      </c>
      <c r="M292" s="1">
        <f t="shared" si="18"/>
        <v>0.5394321766561514</v>
      </c>
      <c r="N292" s="1">
        <f t="shared" si="19"/>
        <v>0.21637426900584794</v>
      </c>
    </row>
    <row r="293" spans="1:14" x14ac:dyDescent="0.3">
      <c r="A293" t="s">
        <v>390</v>
      </c>
      <c r="B293" s="2" t="s">
        <v>387</v>
      </c>
      <c r="C293" s="2" t="str">
        <f t="shared" si="16"/>
        <v>Mar-2024</v>
      </c>
      <c r="D293" t="s">
        <v>12</v>
      </c>
      <c r="E293" t="s">
        <v>325</v>
      </c>
      <c r="F293" t="s">
        <v>24</v>
      </c>
      <c r="G293">
        <v>1075</v>
      </c>
      <c r="H293">
        <v>161</v>
      </c>
      <c r="I293">
        <v>77</v>
      </c>
      <c r="J293">
        <v>34</v>
      </c>
      <c r="K293">
        <v>486098</v>
      </c>
      <c r="L293" s="1">
        <f t="shared" si="17"/>
        <v>0.14976744186046512</v>
      </c>
      <c r="M293" s="1">
        <f t="shared" si="18"/>
        <v>0.47826086956521741</v>
      </c>
      <c r="N293" s="1">
        <f t="shared" si="19"/>
        <v>0.44155844155844154</v>
      </c>
    </row>
    <row r="294" spans="1:14" x14ac:dyDescent="0.3">
      <c r="A294" t="s">
        <v>391</v>
      </c>
      <c r="B294" s="2" t="s">
        <v>392</v>
      </c>
      <c r="C294" s="2" t="str">
        <f t="shared" si="16"/>
        <v>Mar-2024</v>
      </c>
      <c r="D294" t="s">
        <v>16</v>
      </c>
      <c r="E294" t="s">
        <v>327</v>
      </c>
      <c r="F294" t="s">
        <v>14</v>
      </c>
      <c r="G294">
        <v>1064</v>
      </c>
      <c r="H294">
        <v>289</v>
      </c>
      <c r="I294">
        <v>160</v>
      </c>
      <c r="J294">
        <v>35</v>
      </c>
      <c r="K294">
        <v>183680</v>
      </c>
      <c r="L294" s="1">
        <f t="shared" si="17"/>
        <v>0.27161654135338348</v>
      </c>
      <c r="M294" s="1">
        <f t="shared" si="18"/>
        <v>0.55363321799307963</v>
      </c>
      <c r="N294" s="1">
        <f t="shared" si="19"/>
        <v>0.21875</v>
      </c>
    </row>
    <row r="295" spans="1:14" x14ac:dyDescent="0.3">
      <c r="A295" t="s">
        <v>393</v>
      </c>
      <c r="B295" s="2" t="s">
        <v>392</v>
      </c>
      <c r="C295" s="2" t="str">
        <f t="shared" si="16"/>
        <v>Mar-2024</v>
      </c>
      <c r="D295" t="s">
        <v>20</v>
      </c>
      <c r="E295" t="s">
        <v>329</v>
      </c>
      <c r="F295" t="s">
        <v>18</v>
      </c>
      <c r="G295">
        <v>687</v>
      </c>
      <c r="H295">
        <v>186</v>
      </c>
      <c r="I295">
        <v>103</v>
      </c>
      <c r="J295">
        <v>35</v>
      </c>
      <c r="K295">
        <v>403620</v>
      </c>
      <c r="L295" s="1">
        <f t="shared" si="17"/>
        <v>0.27074235807860264</v>
      </c>
      <c r="M295" s="1">
        <f t="shared" si="18"/>
        <v>0.55376344086021501</v>
      </c>
      <c r="N295" s="1">
        <f t="shared" si="19"/>
        <v>0.33980582524271846</v>
      </c>
    </row>
    <row r="296" spans="1:14" x14ac:dyDescent="0.3">
      <c r="A296" t="s">
        <v>394</v>
      </c>
      <c r="B296" s="2" t="s">
        <v>392</v>
      </c>
      <c r="C296" s="2" t="str">
        <f t="shared" si="16"/>
        <v>Mar-2024</v>
      </c>
      <c r="D296" t="s">
        <v>12</v>
      </c>
      <c r="E296" t="s">
        <v>325</v>
      </c>
      <c r="F296" t="s">
        <v>22</v>
      </c>
      <c r="G296">
        <v>844</v>
      </c>
      <c r="H296">
        <v>227</v>
      </c>
      <c r="I296">
        <v>175</v>
      </c>
      <c r="J296">
        <v>55</v>
      </c>
      <c r="K296">
        <v>516450</v>
      </c>
      <c r="L296" s="1">
        <f t="shared" si="17"/>
        <v>0.26895734597156395</v>
      </c>
      <c r="M296" s="1">
        <f t="shared" si="18"/>
        <v>0.77092511013215859</v>
      </c>
      <c r="N296" s="1">
        <f t="shared" si="19"/>
        <v>0.31428571428571428</v>
      </c>
    </row>
    <row r="297" spans="1:14" x14ac:dyDescent="0.3">
      <c r="A297" t="s">
        <v>395</v>
      </c>
      <c r="B297" s="2" t="s">
        <v>392</v>
      </c>
      <c r="C297" s="2" t="str">
        <f t="shared" si="16"/>
        <v>Mar-2024</v>
      </c>
      <c r="D297" t="s">
        <v>16</v>
      </c>
      <c r="E297" t="s">
        <v>327</v>
      </c>
      <c r="F297" t="s">
        <v>24</v>
      </c>
      <c r="G297">
        <v>1441</v>
      </c>
      <c r="H297">
        <v>241</v>
      </c>
      <c r="I297">
        <v>120</v>
      </c>
      <c r="J297">
        <v>32</v>
      </c>
      <c r="K297">
        <v>310272</v>
      </c>
      <c r="L297" s="1">
        <f t="shared" si="17"/>
        <v>0.16724496877168632</v>
      </c>
      <c r="M297" s="1">
        <f t="shared" si="18"/>
        <v>0.49792531120331951</v>
      </c>
      <c r="N297" s="1">
        <f t="shared" si="19"/>
        <v>0.26666666666666666</v>
      </c>
    </row>
    <row r="298" spans="1:14" x14ac:dyDescent="0.3">
      <c r="A298" t="s">
        <v>396</v>
      </c>
      <c r="B298" s="2" t="s">
        <v>397</v>
      </c>
      <c r="C298" s="2" t="str">
        <f t="shared" si="16"/>
        <v>Mar-2024</v>
      </c>
      <c r="D298" t="s">
        <v>20</v>
      </c>
      <c r="E298" t="s">
        <v>329</v>
      </c>
      <c r="F298" t="s">
        <v>14</v>
      </c>
      <c r="G298">
        <v>1710</v>
      </c>
      <c r="H298">
        <v>222</v>
      </c>
      <c r="I298">
        <v>100</v>
      </c>
      <c r="J298">
        <v>32</v>
      </c>
      <c r="K298">
        <v>267264</v>
      </c>
      <c r="L298" s="1">
        <f t="shared" si="17"/>
        <v>0.12982456140350876</v>
      </c>
      <c r="M298" s="1">
        <f t="shared" si="18"/>
        <v>0.45045045045045046</v>
      </c>
      <c r="N298" s="1">
        <f t="shared" si="19"/>
        <v>0.32</v>
      </c>
    </row>
    <row r="299" spans="1:14" x14ac:dyDescent="0.3">
      <c r="A299" t="s">
        <v>398</v>
      </c>
      <c r="B299" s="2" t="s">
        <v>397</v>
      </c>
      <c r="C299" s="2" t="str">
        <f t="shared" si="16"/>
        <v>Mar-2024</v>
      </c>
      <c r="D299" t="s">
        <v>12</v>
      </c>
      <c r="E299" t="s">
        <v>325</v>
      </c>
      <c r="F299" t="s">
        <v>18</v>
      </c>
      <c r="G299">
        <v>1654</v>
      </c>
      <c r="H299">
        <v>446</v>
      </c>
      <c r="I299">
        <v>286</v>
      </c>
      <c r="J299">
        <v>122</v>
      </c>
      <c r="K299">
        <v>1184986</v>
      </c>
      <c r="L299" s="1">
        <f t="shared" si="17"/>
        <v>0.26964933494558646</v>
      </c>
      <c r="M299" s="1">
        <f t="shared" si="18"/>
        <v>0.64125560538116588</v>
      </c>
      <c r="N299" s="1">
        <f t="shared" si="19"/>
        <v>0.42657342657342656</v>
      </c>
    </row>
    <row r="300" spans="1:14" x14ac:dyDescent="0.3">
      <c r="A300" t="s">
        <v>399</v>
      </c>
      <c r="B300" s="2" t="s">
        <v>397</v>
      </c>
      <c r="C300" s="2" t="str">
        <f t="shared" si="16"/>
        <v>Mar-2024</v>
      </c>
      <c r="D300" t="s">
        <v>16</v>
      </c>
      <c r="E300" t="s">
        <v>327</v>
      </c>
      <c r="F300" t="s">
        <v>22</v>
      </c>
      <c r="G300">
        <v>686</v>
      </c>
      <c r="H300">
        <v>87</v>
      </c>
      <c r="I300">
        <v>35</v>
      </c>
      <c r="J300">
        <v>14</v>
      </c>
      <c r="K300">
        <v>97888</v>
      </c>
      <c r="L300" s="1">
        <f t="shared" si="17"/>
        <v>0.12682215743440234</v>
      </c>
      <c r="M300" s="1">
        <f t="shared" si="18"/>
        <v>0.40229885057471265</v>
      </c>
      <c r="N300" s="1">
        <f t="shared" si="19"/>
        <v>0.4</v>
      </c>
    </row>
    <row r="301" spans="1:14" x14ac:dyDescent="0.3">
      <c r="A301" t="s">
        <v>400</v>
      </c>
      <c r="B301" s="2" t="s">
        <v>397</v>
      </c>
      <c r="C301" s="2" t="str">
        <f t="shared" si="16"/>
        <v>Mar-2024</v>
      </c>
      <c r="D301" t="s">
        <v>20</v>
      </c>
      <c r="E301" t="s">
        <v>329</v>
      </c>
      <c r="F301" t="s">
        <v>24</v>
      </c>
      <c r="G301">
        <v>1276</v>
      </c>
      <c r="H301">
        <v>299</v>
      </c>
      <c r="I301">
        <v>166</v>
      </c>
      <c r="J301">
        <v>62</v>
      </c>
      <c r="K301">
        <v>386694</v>
      </c>
      <c r="L301" s="1">
        <f t="shared" si="17"/>
        <v>0.23432601880877743</v>
      </c>
      <c r="M301" s="1">
        <f t="shared" si="18"/>
        <v>0.55518394648829428</v>
      </c>
      <c r="N301" s="1">
        <f t="shared" si="19"/>
        <v>0.37349397590361444</v>
      </c>
    </row>
    <row r="302" spans="1:14" x14ac:dyDescent="0.3">
      <c r="A302" t="s">
        <v>401</v>
      </c>
      <c r="B302" s="2" t="s">
        <v>402</v>
      </c>
      <c r="C302" s="2" t="str">
        <f t="shared" si="16"/>
        <v>Mar-2024</v>
      </c>
      <c r="D302" t="s">
        <v>12</v>
      </c>
      <c r="E302" t="s">
        <v>325</v>
      </c>
      <c r="F302" t="s">
        <v>14</v>
      </c>
      <c r="G302">
        <v>1087</v>
      </c>
      <c r="H302">
        <v>161</v>
      </c>
      <c r="I302">
        <v>98</v>
      </c>
      <c r="J302">
        <v>21</v>
      </c>
      <c r="K302">
        <v>198912</v>
      </c>
      <c r="L302" s="1">
        <f t="shared" si="17"/>
        <v>0.14811407543698252</v>
      </c>
      <c r="M302" s="1">
        <f t="shared" si="18"/>
        <v>0.60869565217391308</v>
      </c>
      <c r="N302" s="1">
        <f t="shared" si="19"/>
        <v>0.21428571428571427</v>
      </c>
    </row>
    <row r="303" spans="1:14" x14ac:dyDescent="0.3">
      <c r="A303" t="s">
        <v>403</v>
      </c>
      <c r="B303" s="2" t="s">
        <v>402</v>
      </c>
      <c r="C303" s="2" t="str">
        <f t="shared" si="16"/>
        <v>Mar-2024</v>
      </c>
      <c r="D303" t="s">
        <v>16</v>
      </c>
      <c r="E303" t="s">
        <v>327</v>
      </c>
      <c r="F303" t="s">
        <v>18</v>
      </c>
      <c r="G303">
        <v>1599</v>
      </c>
      <c r="H303">
        <v>264</v>
      </c>
      <c r="I303">
        <v>129</v>
      </c>
      <c r="J303">
        <v>52</v>
      </c>
      <c r="K303">
        <v>716716</v>
      </c>
      <c r="L303" s="1">
        <f t="shared" si="17"/>
        <v>0.16510318949343339</v>
      </c>
      <c r="M303" s="1">
        <f t="shared" si="18"/>
        <v>0.48863636363636365</v>
      </c>
      <c r="N303" s="1">
        <f t="shared" si="19"/>
        <v>0.40310077519379844</v>
      </c>
    </row>
    <row r="304" spans="1:14" x14ac:dyDescent="0.3">
      <c r="A304" t="s">
        <v>404</v>
      </c>
      <c r="B304" s="2" t="s">
        <v>402</v>
      </c>
      <c r="C304" s="2" t="str">
        <f t="shared" si="16"/>
        <v>Mar-2024</v>
      </c>
      <c r="D304" t="s">
        <v>20</v>
      </c>
      <c r="E304" t="s">
        <v>329</v>
      </c>
      <c r="F304" t="s">
        <v>22</v>
      </c>
      <c r="G304">
        <v>1340</v>
      </c>
      <c r="H304">
        <v>198</v>
      </c>
      <c r="I304">
        <v>105</v>
      </c>
      <c r="J304">
        <v>40</v>
      </c>
      <c r="K304">
        <v>503960</v>
      </c>
      <c r="L304" s="1">
        <f t="shared" si="17"/>
        <v>0.14776119402985075</v>
      </c>
      <c r="M304" s="1">
        <f t="shared" si="18"/>
        <v>0.53030303030303028</v>
      </c>
      <c r="N304" s="1">
        <f t="shared" si="19"/>
        <v>0.38095238095238093</v>
      </c>
    </row>
    <row r="305" spans="1:14" x14ac:dyDescent="0.3">
      <c r="A305" t="s">
        <v>405</v>
      </c>
      <c r="B305" s="2" t="s">
        <v>402</v>
      </c>
      <c r="C305" s="2" t="str">
        <f t="shared" si="16"/>
        <v>Mar-2024</v>
      </c>
      <c r="D305" t="s">
        <v>12</v>
      </c>
      <c r="E305" t="s">
        <v>325</v>
      </c>
      <c r="F305" t="s">
        <v>24</v>
      </c>
      <c r="G305">
        <v>949</v>
      </c>
      <c r="H305">
        <v>96</v>
      </c>
      <c r="I305">
        <v>53</v>
      </c>
      <c r="J305">
        <v>15</v>
      </c>
      <c r="K305">
        <v>197955</v>
      </c>
      <c r="L305" s="1">
        <f t="shared" si="17"/>
        <v>0.10115911485774499</v>
      </c>
      <c r="M305" s="1">
        <f t="shared" si="18"/>
        <v>0.55208333333333337</v>
      </c>
      <c r="N305" s="1">
        <f t="shared" si="19"/>
        <v>0.28301886792452829</v>
      </c>
    </row>
    <row r="306" spans="1:14" x14ac:dyDescent="0.3">
      <c r="A306" t="s">
        <v>406</v>
      </c>
      <c r="B306" s="2" t="s">
        <v>407</v>
      </c>
      <c r="C306" s="2" t="str">
        <f t="shared" si="16"/>
        <v>Mar-2024</v>
      </c>
      <c r="D306" t="s">
        <v>16</v>
      </c>
      <c r="E306" t="s">
        <v>327</v>
      </c>
      <c r="F306" t="s">
        <v>14</v>
      </c>
      <c r="G306">
        <v>1297</v>
      </c>
      <c r="H306">
        <v>288</v>
      </c>
      <c r="I306">
        <v>164</v>
      </c>
      <c r="J306">
        <v>36</v>
      </c>
      <c r="K306">
        <v>186984</v>
      </c>
      <c r="L306" s="1">
        <f t="shared" si="17"/>
        <v>0.22205088666152659</v>
      </c>
      <c r="M306" s="1">
        <f t="shared" si="18"/>
        <v>0.56944444444444442</v>
      </c>
      <c r="N306" s="1">
        <f t="shared" si="19"/>
        <v>0.21951219512195122</v>
      </c>
    </row>
    <row r="307" spans="1:14" x14ac:dyDescent="0.3">
      <c r="A307" t="s">
        <v>408</v>
      </c>
      <c r="B307" s="2" t="s">
        <v>407</v>
      </c>
      <c r="C307" s="2" t="str">
        <f t="shared" si="16"/>
        <v>Mar-2024</v>
      </c>
      <c r="D307" t="s">
        <v>20</v>
      </c>
      <c r="E307" t="s">
        <v>329</v>
      </c>
      <c r="F307" t="s">
        <v>18</v>
      </c>
      <c r="G307">
        <v>1470</v>
      </c>
      <c r="H307">
        <v>417</v>
      </c>
      <c r="I307">
        <v>236</v>
      </c>
      <c r="J307">
        <v>101</v>
      </c>
      <c r="K307">
        <v>1078983</v>
      </c>
      <c r="L307" s="1">
        <f t="shared" si="17"/>
        <v>0.28367346938775512</v>
      </c>
      <c r="M307" s="1">
        <f t="shared" si="18"/>
        <v>0.56594724220623505</v>
      </c>
      <c r="N307" s="1">
        <f t="shared" si="19"/>
        <v>0.42796610169491528</v>
      </c>
    </row>
    <row r="308" spans="1:14" x14ac:dyDescent="0.3">
      <c r="A308" t="s">
        <v>409</v>
      </c>
      <c r="B308" s="2" t="s">
        <v>407</v>
      </c>
      <c r="C308" s="2" t="str">
        <f t="shared" si="16"/>
        <v>Mar-2024</v>
      </c>
      <c r="D308" t="s">
        <v>12</v>
      </c>
      <c r="E308" t="s">
        <v>325</v>
      </c>
      <c r="F308" t="s">
        <v>22</v>
      </c>
      <c r="G308">
        <v>1288</v>
      </c>
      <c r="H308">
        <v>310</v>
      </c>
      <c r="I308">
        <v>152</v>
      </c>
      <c r="J308">
        <v>62</v>
      </c>
      <c r="K308">
        <v>810836</v>
      </c>
      <c r="L308" s="1">
        <f t="shared" si="17"/>
        <v>0.24068322981366461</v>
      </c>
      <c r="M308" s="1">
        <f t="shared" si="18"/>
        <v>0.49032258064516127</v>
      </c>
      <c r="N308" s="1">
        <f t="shared" si="19"/>
        <v>0.40789473684210525</v>
      </c>
    </row>
    <row r="309" spans="1:14" x14ac:dyDescent="0.3">
      <c r="A309" t="s">
        <v>410</v>
      </c>
      <c r="B309" s="2" t="s">
        <v>407</v>
      </c>
      <c r="C309" s="2" t="str">
        <f t="shared" si="16"/>
        <v>Mar-2024</v>
      </c>
      <c r="D309" t="s">
        <v>16</v>
      </c>
      <c r="E309" t="s">
        <v>327</v>
      </c>
      <c r="F309" t="s">
        <v>24</v>
      </c>
      <c r="G309">
        <v>1302</v>
      </c>
      <c r="H309">
        <v>315</v>
      </c>
      <c r="I309">
        <v>198</v>
      </c>
      <c r="J309">
        <v>80</v>
      </c>
      <c r="K309">
        <v>687440</v>
      </c>
      <c r="L309" s="1">
        <f t="shared" si="17"/>
        <v>0.24193548387096775</v>
      </c>
      <c r="M309" s="1">
        <f t="shared" si="18"/>
        <v>0.62857142857142856</v>
      </c>
      <c r="N309" s="1">
        <f t="shared" si="19"/>
        <v>0.40404040404040403</v>
      </c>
    </row>
    <row r="310" spans="1:14" x14ac:dyDescent="0.3">
      <c r="A310" t="s">
        <v>411</v>
      </c>
      <c r="B310" s="2" t="s">
        <v>412</v>
      </c>
      <c r="C310" s="2" t="str">
        <f t="shared" si="16"/>
        <v>Mar-2024</v>
      </c>
      <c r="D310" t="s">
        <v>20</v>
      </c>
      <c r="E310" t="s">
        <v>329</v>
      </c>
      <c r="F310" t="s">
        <v>14</v>
      </c>
      <c r="G310">
        <v>786</v>
      </c>
      <c r="H310">
        <v>117</v>
      </c>
      <c r="I310">
        <v>70</v>
      </c>
      <c r="J310">
        <v>15</v>
      </c>
      <c r="K310">
        <v>174825</v>
      </c>
      <c r="L310" s="1">
        <f t="shared" si="17"/>
        <v>0.14885496183206107</v>
      </c>
      <c r="M310" s="1">
        <f t="shared" si="18"/>
        <v>0.59829059829059827</v>
      </c>
      <c r="N310" s="1">
        <f t="shared" si="19"/>
        <v>0.21428571428571427</v>
      </c>
    </row>
    <row r="311" spans="1:14" x14ac:dyDescent="0.3">
      <c r="A311" t="s">
        <v>413</v>
      </c>
      <c r="B311" s="2" t="s">
        <v>412</v>
      </c>
      <c r="C311" s="2" t="str">
        <f t="shared" si="16"/>
        <v>Mar-2024</v>
      </c>
      <c r="D311" t="s">
        <v>12</v>
      </c>
      <c r="E311" t="s">
        <v>325</v>
      </c>
      <c r="F311" t="s">
        <v>18</v>
      </c>
      <c r="G311">
        <v>823</v>
      </c>
      <c r="H311">
        <v>135</v>
      </c>
      <c r="I311">
        <v>62</v>
      </c>
      <c r="J311">
        <v>19</v>
      </c>
      <c r="K311">
        <v>278103</v>
      </c>
      <c r="L311" s="1">
        <f t="shared" si="17"/>
        <v>0.16403402187120292</v>
      </c>
      <c r="M311" s="1">
        <f t="shared" si="18"/>
        <v>0.45925925925925926</v>
      </c>
      <c r="N311" s="1">
        <f t="shared" si="19"/>
        <v>0.30645161290322581</v>
      </c>
    </row>
    <row r="312" spans="1:14" x14ac:dyDescent="0.3">
      <c r="A312" t="s">
        <v>414</v>
      </c>
      <c r="B312" s="2" t="s">
        <v>412</v>
      </c>
      <c r="C312" s="2" t="str">
        <f t="shared" si="16"/>
        <v>Mar-2024</v>
      </c>
      <c r="D312" t="s">
        <v>16</v>
      </c>
      <c r="E312" t="s">
        <v>327</v>
      </c>
      <c r="F312" t="s">
        <v>22</v>
      </c>
      <c r="G312">
        <v>1136</v>
      </c>
      <c r="H312">
        <v>288</v>
      </c>
      <c r="I312">
        <v>212</v>
      </c>
      <c r="J312">
        <v>45</v>
      </c>
      <c r="K312">
        <v>206280</v>
      </c>
      <c r="L312" s="1">
        <f t="shared" si="17"/>
        <v>0.25352112676056338</v>
      </c>
      <c r="M312" s="1">
        <f t="shared" si="18"/>
        <v>0.73611111111111116</v>
      </c>
      <c r="N312" s="1">
        <f t="shared" si="19"/>
        <v>0.21226415094339623</v>
      </c>
    </row>
    <row r="313" spans="1:14" x14ac:dyDescent="0.3">
      <c r="A313" t="s">
        <v>415</v>
      </c>
      <c r="B313" s="2" t="s">
        <v>412</v>
      </c>
      <c r="C313" s="2" t="str">
        <f t="shared" si="16"/>
        <v>Mar-2024</v>
      </c>
      <c r="D313" t="s">
        <v>20</v>
      </c>
      <c r="E313" t="s">
        <v>329</v>
      </c>
      <c r="F313" t="s">
        <v>24</v>
      </c>
      <c r="G313">
        <v>1372</v>
      </c>
      <c r="H313">
        <v>173</v>
      </c>
      <c r="I313">
        <v>80</v>
      </c>
      <c r="J313">
        <v>23</v>
      </c>
      <c r="K313">
        <v>205965</v>
      </c>
      <c r="L313" s="1">
        <f t="shared" si="17"/>
        <v>0.12609329446064141</v>
      </c>
      <c r="M313" s="1">
        <f t="shared" si="18"/>
        <v>0.46242774566473988</v>
      </c>
      <c r="N313" s="1">
        <f t="shared" si="19"/>
        <v>0.28749999999999998</v>
      </c>
    </row>
    <row r="314" spans="1:14" x14ac:dyDescent="0.3">
      <c r="A314" t="s">
        <v>416</v>
      </c>
      <c r="B314" s="2" t="s">
        <v>417</v>
      </c>
      <c r="C314" s="2" t="str">
        <f t="shared" si="16"/>
        <v>Mar-2024</v>
      </c>
      <c r="D314" t="s">
        <v>12</v>
      </c>
      <c r="E314" t="s">
        <v>325</v>
      </c>
      <c r="F314" t="s">
        <v>14</v>
      </c>
      <c r="G314">
        <v>1348</v>
      </c>
      <c r="H314">
        <v>156</v>
      </c>
      <c r="I314">
        <v>116</v>
      </c>
      <c r="J314">
        <v>46</v>
      </c>
      <c r="K314">
        <v>635812</v>
      </c>
      <c r="L314" s="1">
        <f t="shared" si="17"/>
        <v>0.11572700296735905</v>
      </c>
      <c r="M314" s="1">
        <f t="shared" si="18"/>
        <v>0.74358974358974361</v>
      </c>
      <c r="N314" s="1">
        <f t="shared" si="19"/>
        <v>0.39655172413793105</v>
      </c>
    </row>
    <row r="315" spans="1:14" x14ac:dyDescent="0.3">
      <c r="A315" t="s">
        <v>418</v>
      </c>
      <c r="B315" s="2" t="s">
        <v>417</v>
      </c>
      <c r="C315" s="2" t="str">
        <f t="shared" si="16"/>
        <v>Mar-2024</v>
      </c>
      <c r="D315" t="s">
        <v>16</v>
      </c>
      <c r="E315" t="s">
        <v>327</v>
      </c>
      <c r="F315" t="s">
        <v>18</v>
      </c>
      <c r="G315">
        <v>1046</v>
      </c>
      <c r="H315">
        <v>244</v>
      </c>
      <c r="I315">
        <v>186</v>
      </c>
      <c r="J315">
        <v>72</v>
      </c>
      <c r="K315">
        <v>615384</v>
      </c>
      <c r="L315" s="1">
        <f t="shared" si="17"/>
        <v>0.2332695984703633</v>
      </c>
      <c r="M315" s="1">
        <f t="shared" si="18"/>
        <v>0.76229508196721307</v>
      </c>
      <c r="N315" s="1">
        <f t="shared" si="19"/>
        <v>0.38709677419354838</v>
      </c>
    </row>
    <row r="316" spans="1:14" x14ac:dyDescent="0.3">
      <c r="A316" t="s">
        <v>419</v>
      </c>
      <c r="B316" s="2" t="s">
        <v>417</v>
      </c>
      <c r="C316" s="2" t="str">
        <f t="shared" si="16"/>
        <v>Mar-2024</v>
      </c>
      <c r="D316" t="s">
        <v>20</v>
      </c>
      <c r="E316" t="s">
        <v>329</v>
      </c>
      <c r="F316" t="s">
        <v>22</v>
      </c>
      <c r="G316">
        <v>1938</v>
      </c>
      <c r="H316">
        <v>528</v>
      </c>
      <c r="I316">
        <v>410</v>
      </c>
      <c r="J316">
        <v>160</v>
      </c>
      <c r="K316">
        <v>2191520</v>
      </c>
      <c r="L316" s="1">
        <f t="shared" si="17"/>
        <v>0.27244582043343651</v>
      </c>
      <c r="M316" s="1">
        <f t="shared" si="18"/>
        <v>0.77651515151515149</v>
      </c>
      <c r="N316" s="1">
        <f t="shared" si="19"/>
        <v>0.3902439024390244</v>
      </c>
    </row>
    <row r="317" spans="1:14" x14ac:dyDescent="0.3">
      <c r="A317" t="s">
        <v>420</v>
      </c>
      <c r="B317" s="2" t="s">
        <v>417</v>
      </c>
      <c r="C317" s="2" t="str">
        <f t="shared" si="16"/>
        <v>Mar-2024</v>
      </c>
      <c r="D317" t="s">
        <v>12</v>
      </c>
      <c r="E317" t="s">
        <v>325</v>
      </c>
      <c r="F317" t="s">
        <v>24</v>
      </c>
      <c r="G317">
        <v>1145</v>
      </c>
      <c r="H317">
        <v>184</v>
      </c>
      <c r="I317">
        <v>102</v>
      </c>
      <c r="J317">
        <v>26</v>
      </c>
      <c r="K317">
        <v>269620</v>
      </c>
      <c r="L317" s="1">
        <f t="shared" si="17"/>
        <v>0.16069868995633188</v>
      </c>
      <c r="M317" s="1">
        <f t="shared" si="18"/>
        <v>0.55434782608695654</v>
      </c>
      <c r="N317" s="1">
        <f t="shared" si="19"/>
        <v>0.25490196078431371</v>
      </c>
    </row>
    <row r="318" spans="1:14" x14ac:dyDescent="0.3">
      <c r="A318" t="s">
        <v>421</v>
      </c>
      <c r="B318" s="2" t="s">
        <v>422</v>
      </c>
      <c r="C318" s="2" t="str">
        <f t="shared" si="16"/>
        <v>Mar-2024</v>
      </c>
      <c r="D318" t="s">
        <v>16</v>
      </c>
      <c r="E318" t="s">
        <v>327</v>
      </c>
      <c r="F318" t="s">
        <v>14</v>
      </c>
      <c r="G318">
        <v>1965</v>
      </c>
      <c r="H318">
        <v>347</v>
      </c>
      <c r="I318">
        <v>195</v>
      </c>
      <c r="J318">
        <v>71</v>
      </c>
      <c r="K318">
        <v>726472</v>
      </c>
      <c r="L318" s="1">
        <f t="shared" si="17"/>
        <v>0.17659033078880407</v>
      </c>
      <c r="M318" s="1">
        <f t="shared" si="18"/>
        <v>0.56195965417867433</v>
      </c>
      <c r="N318" s="1">
        <f t="shared" si="19"/>
        <v>0.36410256410256409</v>
      </c>
    </row>
    <row r="319" spans="1:14" x14ac:dyDescent="0.3">
      <c r="A319" t="s">
        <v>423</v>
      </c>
      <c r="B319" s="2" t="s">
        <v>422</v>
      </c>
      <c r="C319" s="2" t="str">
        <f t="shared" si="16"/>
        <v>Mar-2024</v>
      </c>
      <c r="D319" t="s">
        <v>20</v>
      </c>
      <c r="E319" t="s">
        <v>329</v>
      </c>
      <c r="F319" t="s">
        <v>18</v>
      </c>
      <c r="G319">
        <v>1908</v>
      </c>
      <c r="H319">
        <v>560</v>
      </c>
      <c r="I319">
        <v>318</v>
      </c>
      <c r="J319">
        <v>81</v>
      </c>
      <c r="K319">
        <v>657963</v>
      </c>
      <c r="L319" s="1">
        <f t="shared" si="17"/>
        <v>0.29350104821802936</v>
      </c>
      <c r="M319" s="1">
        <f t="shared" si="18"/>
        <v>0.56785714285714284</v>
      </c>
      <c r="N319" s="1">
        <f t="shared" si="19"/>
        <v>0.25471698113207547</v>
      </c>
    </row>
    <row r="320" spans="1:14" x14ac:dyDescent="0.3">
      <c r="A320" t="s">
        <v>424</v>
      </c>
      <c r="B320" s="2" t="s">
        <v>422</v>
      </c>
      <c r="C320" s="2" t="str">
        <f t="shared" si="16"/>
        <v>Mar-2024</v>
      </c>
      <c r="D320" t="s">
        <v>12</v>
      </c>
      <c r="E320" t="s">
        <v>325</v>
      </c>
      <c r="F320" t="s">
        <v>22</v>
      </c>
      <c r="G320">
        <v>616</v>
      </c>
      <c r="H320">
        <v>80</v>
      </c>
      <c r="I320">
        <v>42</v>
      </c>
      <c r="J320">
        <v>14</v>
      </c>
      <c r="K320">
        <v>202594</v>
      </c>
      <c r="L320" s="1">
        <f t="shared" si="17"/>
        <v>0.12987012987012986</v>
      </c>
      <c r="M320" s="1">
        <f t="shared" si="18"/>
        <v>0.52500000000000002</v>
      </c>
      <c r="N320" s="1">
        <f t="shared" si="19"/>
        <v>0.33333333333333331</v>
      </c>
    </row>
    <row r="321" spans="1:14" x14ac:dyDescent="0.3">
      <c r="A321" t="s">
        <v>425</v>
      </c>
      <c r="B321" s="2" t="s">
        <v>422</v>
      </c>
      <c r="C321" s="2" t="str">
        <f t="shared" si="16"/>
        <v>Mar-2024</v>
      </c>
      <c r="D321" t="s">
        <v>16</v>
      </c>
      <c r="E321" t="s">
        <v>327</v>
      </c>
      <c r="F321" t="s">
        <v>24</v>
      </c>
      <c r="G321">
        <v>1370</v>
      </c>
      <c r="H321">
        <v>272</v>
      </c>
      <c r="I321">
        <v>183</v>
      </c>
      <c r="J321">
        <v>78</v>
      </c>
      <c r="K321">
        <v>1027572</v>
      </c>
      <c r="L321" s="1">
        <f t="shared" si="17"/>
        <v>0.19854014598540146</v>
      </c>
      <c r="M321" s="1">
        <f t="shared" si="18"/>
        <v>0.67279411764705888</v>
      </c>
      <c r="N321" s="1">
        <f t="shared" si="19"/>
        <v>0.42622950819672129</v>
      </c>
    </row>
    <row r="322" spans="1:14" x14ac:dyDescent="0.3">
      <c r="A322" t="s">
        <v>426</v>
      </c>
      <c r="B322" s="2" t="s">
        <v>427</v>
      </c>
      <c r="C322" s="2" t="str">
        <f t="shared" si="16"/>
        <v>Mar-2024</v>
      </c>
      <c r="D322" t="s">
        <v>20</v>
      </c>
      <c r="E322" t="s">
        <v>329</v>
      </c>
      <c r="F322" t="s">
        <v>14</v>
      </c>
      <c r="G322">
        <v>546</v>
      </c>
      <c r="H322">
        <v>148</v>
      </c>
      <c r="I322">
        <v>87</v>
      </c>
      <c r="J322">
        <v>39</v>
      </c>
      <c r="K322">
        <v>520728</v>
      </c>
      <c r="L322" s="1">
        <f t="shared" si="17"/>
        <v>0.27106227106227104</v>
      </c>
      <c r="M322" s="1">
        <f t="shared" si="18"/>
        <v>0.58783783783783783</v>
      </c>
      <c r="N322" s="1">
        <f t="shared" si="19"/>
        <v>0.44827586206896552</v>
      </c>
    </row>
    <row r="323" spans="1:14" x14ac:dyDescent="0.3">
      <c r="A323" t="s">
        <v>428</v>
      </c>
      <c r="B323" s="2" t="s">
        <v>427</v>
      </c>
      <c r="C323" s="2" t="str">
        <f t="shared" ref="C323:C386" si="20">TEXT(B323,"MMM-YYYY")</f>
        <v>Mar-2024</v>
      </c>
      <c r="D323" t="s">
        <v>12</v>
      </c>
      <c r="E323" t="s">
        <v>325</v>
      </c>
      <c r="F323" t="s">
        <v>18</v>
      </c>
      <c r="G323">
        <v>1500</v>
      </c>
      <c r="H323">
        <v>340</v>
      </c>
      <c r="I323">
        <v>243</v>
      </c>
      <c r="J323">
        <v>114</v>
      </c>
      <c r="K323">
        <v>541500</v>
      </c>
      <c r="L323" s="1">
        <f t="shared" ref="L323:L386" si="21">H323/G323</f>
        <v>0.22666666666666666</v>
      </c>
      <c r="M323" s="1">
        <f t="shared" ref="M323:M386" si="22">I323/H323</f>
        <v>0.71470588235294119</v>
      </c>
      <c r="N323" s="1">
        <f t="shared" ref="N323:N386" si="23">J323/I323</f>
        <v>0.46913580246913578</v>
      </c>
    </row>
    <row r="324" spans="1:14" x14ac:dyDescent="0.3">
      <c r="A324" t="s">
        <v>429</v>
      </c>
      <c r="B324" s="2" t="s">
        <v>427</v>
      </c>
      <c r="C324" s="2" t="str">
        <f t="shared" si="20"/>
        <v>Mar-2024</v>
      </c>
      <c r="D324" t="s">
        <v>16</v>
      </c>
      <c r="E324" t="s">
        <v>327</v>
      </c>
      <c r="F324" t="s">
        <v>22</v>
      </c>
      <c r="G324">
        <v>1560</v>
      </c>
      <c r="H324">
        <v>319</v>
      </c>
      <c r="I324">
        <v>174</v>
      </c>
      <c r="J324">
        <v>72</v>
      </c>
      <c r="K324">
        <v>810216</v>
      </c>
      <c r="L324" s="1">
        <f t="shared" si="21"/>
        <v>0.20448717948717948</v>
      </c>
      <c r="M324" s="1">
        <f t="shared" si="22"/>
        <v>0.54545454545454541</v>
      </c>
      <c r="N324" s="1">
        <f t="shared" si="23"/>
        <v>0.41379310344827586</v>
      </c>
    </row>
    <row r="325" spans="1:14" x14ac:dyDescent="0.3">
      <c r="A325" t="s">
        <v>430</v>
      </c>
      <c r="B325" s="2" t="s">
        <v>427</v>
      </c>
      <c r="C325" s="2" t="str">
        <f t="shared" si="20"/>
        <v>Mar-2024</v>
      </c>
      <c r="D325" t="s">
        <v>20</v>
      </c>
      <c r="E325" t="s">
        <v>329</v>
      </c>
      <c r="F325" t="s">
        <v>24</v>
      </c>
      <c r="G325">
        <v>1224</v>
      </c>
      <c r="H325">
        <v>198</v>
      </c>
      <c r="I325">
        <v>92</v>
      </c>
      <c r="J325">
        <v>28</v>
      </c>
      <c r="K325">
        <v>268940</v>
      </c>
      <c r="L325" s="1">
        <f t="shared" si="21"/>
        <v>0.16176470588235295</v>
      </c>
      <c r="M325" s="1">
        <f t="shared" si="22"/>
        <v>0.46464646464646464</v>
      </c>
      <c r="N325" s="1">
        <f t="shared" si="23"/>
        <v>0.30434782608695654</v>
      </c>
    </row>
    <row r="326" spans="1:14" x14ac:dyDescent="0.3">
      <c r="A326" t="s">
        <v>431</v>
      </c>
      <c r="B326" s="2" t="s">
        <v>432</v>
      </c>
      <c r="C326" s="2" t="str">
        <f t="shared" si="20"/>
        <v>Mar-2024</v>
      </c>
      <c r="D326" t="s">
        <v>12</v>
      </c>
      <c r="E326" t="s">
        <v>325</v>
      </c>
      <c r="F326" t="s">
        <v>14</v>
      </c>
      <c r="G326">
        <v>514</v>
      </c>
      <c r="H326">
        <v>63</v>
      </c>
      <c r="I326">
        <v>47</v>
      </c>
      <c r="J326">
        <v>20</v>
      </c>
      <c r="K326">
        <v>220420</v>
      </c>
      <c r="L326" s="1">
        <f t="shared" si="21"/>
        <v>0.122568093385214</v>
      </c>
      <c r="M326" s="1">
        <f t="shared" si="22"/>
        <v>0.74603174603174605</v>
      </c>
      <c r="N326" s="1">
        <f t="shared" si="23"/>
        <v>0.42553191489361702</v>
      </c>
    </row>
    <row r="327" spans="1:14" x14ac:dyDescent="0.3">
      <c r="A327" t="s">
        <v>433</v>
      </c>
      <c r="B327" s="2" t="s">
        <v>432</v>
      </c>
      <c r="C327" s="2" t="str">
        <f t="shared" si="20"/>
        <v>Mar-2024</v>
      </c>
      <c r="D327" t="s">
        <v>16</v>
      </c>
      <c r="E327" t="s">
        <v>327</v>
      </c>
      <c r="F327" t="s">
        <v>18</v>
      </c>
      <c r="G327">
        <v>1656</v>
      </c>
      <c r="H327">
        <v>394</v>
      </c>
      <c r="I327">
        <v>237</v>
      </c>
      <c r="J327">
        <v>106</v>
      </c>
      <c r="K327">
        <v>1519086</v>
      </c>
      <c r="L327" s="1">
        <f t="shared" si="21"/>
        <v>0.23792270531400966</v>
      </c>
      <c r="M327" s="1">
        <f t="shared" si="22"/>
        <v>0.60152284263959388</v>
      </c>
      <c r="N327" s="1">
        <f t="shared" si="23"/>
        <v>0.4472573839662447</v>
      </c>
    </row>
    <row r="328" spans="1:14" x14ac:dyDescent="0.3">
      <c r="A328" t="s">
        <v>434</v>
      </c>
      <c r="B328" s="2" t="s">
        <v>432</v>
      </c>
      <c r="C328" s="2" t="str">
        <f t="shared" si="20"/>
        <v>Mar-2024</v>
      </c>
      <c r="D328" t="s">
        <v>20</v>
      </c>
      <c r="E328" t="s">
        <v>329</v>
      </c>
      <c r="F328" t="s">
        <v>22</v>
      </c>
      <c r="G328">
        <v>1317</v>
      </c>
      <c r="H328">
        <v>167</v>
      </c>
      <c r="I328">
        <v>106</v>
      </c>
      <c r="J328">
        <v>42</v>
      </c>
      <c r="K328">
        <v>448266</v>
      </c>
      <c r="L328" s="1">
        <f t="shared" si="21"/>
        <v>0.12680334092634776</v>
      </c>
      <c r="M328" s="1">
        <f t="shared" si="22"/>
        <v>0.6347305389221557</v>
      </c>
      <c r="N328" s="1">
        <f t="shared" si="23"/>
        <v>0.39622641509433965</v>
      </c>
    </row>
    <row r="329" spans="1:14" x14ac:dyDescent="0.3">
      <c r="A329" t="s">
        <v>435</v>
      </c>
      <c r="B329" s="2" t="s">
        <v>432</v>
      </c>
      <c r="C329" s="2" t="str">
        <f t="shared" si="20"/>
        <v>Mar-2024</v>
      </c>
      <c r="D329" t="s">
        <v>12</v>
      </c>
      <c r="E329" t="s">
        <v>325</v>
      </c>
      <c r="F329" t="s">
        <v>24</v>
      </c>
      <c r="G329">
        <v>1623</v>
      </c>
      <c r="H329">
        <v>196</v>
      </c>
      <c r="I329">
        <v>107</v>
      </c>
      <c r="J329">
        <v>36</v>
      </c>
      <c r="K329">
        <v>315144</v>
      </c>
      <c r="L329" s="1">
        <f t="shared" si="21"/>
        <v>0.12076401725200246</v>
      </c>
      <c r="M329" s="1">
        <f t="shared" si="22"/>
        <v>0.54591836734693877</v>
      </c>
      <c r="N329" s="1">
        <f t="shared" si="23"/>
        <v>0.3364485981308411</v>
      </c>
    </row>
    <row r="330" spans="1:14" x14ac:dyDescent="0.3">
      <c r="A330" t="s">
        <v>436</v>
      </c>
      <c r="B330" s="2" t="s">
        <v>437</v>
      </c>
      <c r="C330" s="2" t="str">
        <f t="shared" si="20"/>
        <v>Mar-2024</v>
      </c>
      <c r="D330" t="s">
        <v>16</v>
      </c>
      <c r="E330" t="s">
        <v>327</v>
      </c>
      <c r="F330" t="s">
        <v>14</v>
      </c>
      <c r="G330">
        <v>1688</v>
      </c>
      <c r="H330">
        <v>411</v>
      </c>
      <c r="I330">
        <v>219</v>
      </c>
      <c r="J330">
        <v>108</v>
      </c>
      <c r="K330">
        <v>796068</v>
      </c>
      <c r="L330" s="1">
        <f t="shared" si="21"/>
        <v>0.24348341232227488</v>
      </c>
      <c r="M330" s="1">
        <f t="shared" si="22"/>
        <v>0.53284671532846717</v>
      </c>
      <c r="N330" s="1">
        <f t="shared" si="23"/>
        <v>0.49315068493150682</v>
      </c>
    </row>
    <row r="331" spans="1:14" x14ac:dyDescent="0.3">
      <c r="A331" t="s">
        <v>438</v>
      </c>
      <c r="B331" s="2" t="s">
        <v>437</v>
      </c>
      <c r="C331" s="2" t="str">
        <f t="shared" si="20"/>
        <v>Mar-2024</v>
      </c>
      <c r="D331" t="s">
        <v>20</v>
      </c>
      <c r="E331" t="s">
        <v>329</v>
      </c>
      <c r="F331" t="s">
        <v>18</v>
      </c>
      <c r="G331">
        <v>1079</v>
      </c>
      <c r="H331">
        <v>266</v>
      </c>
      <c r="I331">
        <v>169</v>
      </c>
      <c r="J331">
        <v>75</v>
      </c>
      <c r="K331">
        <v>1085925</v>
      </c>
      <c r="L331" s="1">
        <f t="shared" si="21"/>
        <v>0.24652455977757182</v>
      </c>
      <c r="M331" s="1">
        <f t="shared" si="22"/>
        <v>0.63533834586466165</v>
      </c>
      <c r="N331" s="1">
        <f t="shared" si="23"/>
        <v>0.4437869822485207</v>
      </c>
    </row>
    <row r="332" spans="1:14" x14ac:dyDescent="0.3">
      <c r="A332" t="s">
        <v>439</v>
      </c>
      <c r="B332" s="2" t="s">
        <v>437</v>
      </c>
      <c r="C332" s="2" t="str">
        <f t="shared" si="20"/>
        <v>Mar-2024</v>
      </c>
      <c r="D332" t="s">
        <v>12</v>
      </c>
      <c r="E332" t="s">
        <v>325</v>
      </c>
      <c r="F332" t="s">
        <v>22</v>
      </c>
      <c r="G332">
        <v>1592</v>
      </c>
      <c r="H332">
        <v>405</v>
      </c>
      <c r="I332">
        <v>210</v>
      </c>
      <c r="J332">
        <v>50</v>
      </c>
      <c r="K332">
        <v>274900</v>
      </c>
      <c r="L332" s="1">
        <f t="shared" si="21"/>
        <v>0.25439698492462309</v>
      </c>
      <c r="M332" s="1">
        <f t="shared" si="22"/>
        <v>0.51851851851851849</v>
      </c>
      <c r="N332" s="1">
        <f t="shared" si="23"/>
        <v>0.23809523809523808</v>
      </c>
    </row>
    <row r="333" spans="1:14" x14ac:dyDescent="0.3">
      <c r="A333" t="s">
        <v>440</v>
      </c>
      <c r="B333" s="2" t="s">
        <v>437</v>
      </c>
      <c r="C333" s="2" t="str">
        <f t="shared" si="20"/>
        <v>Mar-2024</v>
      </c>
      <c r="D333" t="s">
        <v>16</v>
      </c>
      <c r="E333" t="s">
        <v>327</v>
      </c>
      <c r="F333" t="s">
        <v>24</v>
      </c>
      <c r="G333">
        <v>893</v>
      </c>
      <c r="H333">
        <v>266</v>
      </c>
      <c r="I333">
        <v>194</v>
      </c>
      <c r="J333">
        <v>93</v>
      </c>
      <c r="K333">
        <v>951018</v>
      </c>
      <c r="L333" s="1">
        <f t="shared" si="21"/>
        <v>0.2978723404255319</v>
      </c>
      <c r="M333" s="1">
        <f t="shared" si="22"/>
        <v>0.72932330827067671</v>
      </c>
      <c r="N333" s="1">
        <f t="shared" si="23"/>
        <v>0.47938144329896909</v>
      </c>
    </row>
    <row r="334" spans="1:14" x14ac:dyDescent="0.3">
      <c r="A334" t="s">
        <v>441</v>
      </c>
      <c r="B334" s="2" t="s">
        <v>442</v>
      </c>
      <c r="C334" s="2" t="str">
        <f t="shared" si="20"/>
        <v>Mar-2024</v>
      </c>
      <c r="D334" t="s">
        <v>20</v>
      </c>
      <c r="E334" t="s">
        <v>329</v>
      </c>
      <c r="F334" t="s">
        <v>14</v>
      </c>
      <c r="G334">
        <v>873</v>
      </c>
      <c r="H334">
        <v>119</v>
      </c>
      <c r="I334">
        <v>51</v>
      </c>
      <c r="J334">
        <v>13</v>
      </c>
      <c r="K334">
        <v>117273</v>
      </c>
      <c r="L334" s="1">
        <f t="shared" si="21"/>
        <v>0.13631156930126001</v>
      </c>
      <c r="M334" s="1">
        <f t="shared" si="22"/>
        <v>0.42857142857142855</v>
      </c>
      <c r="N334" s="1">
        <f t="shared" si="23"/>
        <v>0.25490196078431371</v>
      </c>
    </row>
    <row r="335" spans="1:14" x14ac:dyDescent="0.3">
      <c r="A335" t="s">
        <v>443</v>
      </c>
      <c r="B335" s="2" t="s">
        <v>442</v>
      </c>
      <c r="C335" s="2" t="str">
        <f t="shared" si="20"/>
        <v>Mar-2024</v>
      </c>
      <c r="D335" t="s">
        <v>12</v>
      </c>
      <c r="E335" t="s">
        <v>325</v>
      </c>
      <c r="F335" t="s">
        <v>18</v>
      </c>
      <c r="G335">
        <v>1983</v>
      </c>
      <c r="H335">
        <v>292</v>
      </c>
      <c r="I335">
        <v>152</v>
      </c>
      <c r="J335">
        <v>34</v>
      </c>
      <c r="K335">
        <v>453288</v>
      </c>
      <c r="L335" s="1">
        <f t="shared" si="21"/>
        <v>0.14725163893091275</v>
      </c>
      <c r="M335" s="1">
        <f t="shared" si="22"/>
        <v>0.52054794520547942</v>
      </c>
      <c r="N335" s="1">
        <f t="shared" si="23"/>
        <v>0.22368421052631579</v>
      </c>
    </row>
    <row r="336" spans="1:14" x14ac:dyDescent="0.3">
      <c r="A336" t="s">
        <v>444</v>
      </c>
      <c r="B336" s="2" t="s">
        <v>442</v>
      </c>
      <c r="C336" s="2" t="str">
        <f t="shared" si="20"/>
        <v>Mar-2024</v>
      </c>
      <c r="D336" t="s">
        <v>16</v>
      </c>
      <c r="E336" t="s">
        <v>327</v>
      </c>
      <c r="F336" t="s">
        <v>22</v>
      </c>
      <c r="G336">
        <v>1042</v>
      </c>
      <c r="H336">
        <v>296</v>
      </c>
      <c r="I336">
        <v>216</v>
      </c>
      <c r="J336">
        <v>57</v>
      </c>
      <c r="K336">
        <v>732336</v>
      </c>
      <c r="L336" s="1">
        <f t="shared" si="21"/>
        <v>0.28406909788867563</v>
      </c>
      <c r="M336" s="1">
        <f t="shared" si="22"/>
        <v>0.72972972972972971</v>
      </c>
      <c r="N336" s="1">
        <f t="shared" si="23"/>
        <v>0.2638888888888889</v>
      </c>
    </row>
    <row r="337" spans="1:14" x14ac:dyDescent="0.3">
      <c r="A337" t="s">
        <v>445</v>
      </c>
      <c r="B337" s="2" t="s">
        <v>442</v>
      </c>
      <c r="C337" s="2" t="str">
        <f t="shared" si="20"/>
        <v>Mar-2024</v>
      </c>
      <c r="D337" t="s">
        <v>20</v>
      </c>
      <c r="E337" t="s">
        <v>329</v>
      </c>
      <c r="F337" t="s">
        <v>24</v>
      </c>
      <c r="G337">
        <v>841</v>
      </c>
      <c r="H337">
        <v>121</v>
      </c>
      <c r="I337">
        <v>88</v>
      </c>
      <c r="J337">
        <v>39</v>
      </c>
      <c r="K337">
        <v>185016</v>
      </c>
      <c r="L337" s="1">
        <f t="shared" si="21"/>
        <v>0.14387633769322236</v>
      </c>
      <c r="M337" s="1">
        <f t="shared" si="22"/>
        <v>0.72727272727272729</v>
      </c>
      <c r="N337" s="1">
        <f t="shared" si="23"/>
        <v>0.44318181818181818</v>
      </c>
    </row>
    <row r="338" spans="1:14" x14ac:dyDescent="0.3">
      <c r="A338" t="s">
        <v>446</v>
      </c>
      <c r="B338" s="2" t="s">
        <v>447</v>
      </c>
      <c r="C338" s="2" t="str">
        <f t="shared" si="20"/>
        <v>Mar-2024</v>
      </c>
      <c r="D338" t="s">
        <v>12</v>
      </c>
      <c r="E338" t="s">
        <v>325</v>
      </c>
      <c r="F338" t="s">
        <v>14</v>
      </c>
      <c r="G338">
        <v>1433</v>
      </c>
      <c r="H338">
        <v>247</v>
      </c>
      <c r="I338">
        <v>131</v>
      </c>
      <c r="J338">
        <v>51</v>
      </c>
      <c r="K338">
        <v>649179</v>
      </c>
      <c r="L338" s="1">
        <f t="shared" si="21"/>
        <v>0.17236566643405443</v>
      </c>
      <c r="M338" s="1">
        <f t="shared" si="22"/>
        <v>0.53036437246963564</v>
      </c>
      <c r="N338" s="1">
        <f t="shared" si="23"/>
        <v>0.38931297709923662</v>
      </c>
    </row>
    <row r="339" spans="1:14" x14ac:dyDescent="0.3">
      <c r="A339" t="s">
        <v>448</v>
      </c>
      <c r="B339" s="2" t="s">
        <v>447</v>
      </c>
      <c r="C339" s="2" t="str">
        <f t="shared" si="20"/>
        <v>Mar-2024</v>
      </c>
      <c r="D339" t="s">
        <v>16</v>
      </c>
      <c r="E339" t="s">
        <v>327</v>
      </c>
      <c r="F339" t="s">
        <v>18</v>
      </c>
      <c r="G339">
        <v>1793</v>
      </c>
      <c r="H339">
        <v>314</v>
      </c>
      <c r="I339">
        <v>224</v>
      </c>
      <c r="J339">
        <v>49</v>
      </c>
      <c r="K339">
        <v>245931</v>
      </c>
      <c r="L339" s="1">
        <f t="shared" si="21"/>
        <v>0.17512548800892358</v>
      </c>
      <c r="M339" s="1">
        <f t="shared" si="22"/>
        <v>0.7133757961783439</v>
      </c>
      <c r="N339" s="1">
        <f t="shared" si="23"/>
        <v>0.21875</v>
      </c>
    </row>
    <row r="340" spans="1:14" x14ac:dyDescent="0.3">
      <c r="A340" t="s">
        <v>449</v>
      </c>
      <c r="B340" s="2" t="s">
        <v>447</v>
      </c>
      <c r="C340" s="2" t="str">
        <f t="shared" si="20"/>
        <v>Mar-2024</v>
      </c>
      <c r="D340" t="s">
        <v>20</v>
      </c>
      <c r="E340" t="s">
        <v>329</v>
      </c>
      <c r="F340" t="s">
        <v>22</v>
      </c>
      <c r="G340">
        <v>1858</v>
      </c>
      <c r="H340">
        <v>360</v>
      </c>
      <c r="I340">
        <v>190</v>
      </c>
      <c r="J340">
        <v>83</v>
      </c>
      <c r="K340">
        <v>1177023</v>
      </c>
      <c r="L340" s="1">
        <f t="shared" si="21"/>
        <v>0.193756727664155</v>
      </c>
      <c r="M340" s="1">
        <f t="shared" si="22"/>
        <v>0.52777777777777779</v>
      </c>
      <c r="N340" s="1">
        <f t="shared" si="23"/>
        <v>0.43684210526315792</v>
      </c>
    </row>
    <row r="341" spans="1:14" x14ac:dyDescent="0.3">
      <c r="A341" t="s">
        <v>450</v>
      </c>
      <c r="B341" s="2" t="s">
        <v>447</v>
      </c>
      <c r="C341" s="2" t="str">
        <f t="shared" si="20"/>
        <v>Mar-2024</v>
      </c>
      <c r="D341" t="s">
        <v>12</v>
      </c>
      <c r="E341" t="s">
        <v>325</v>
      </c>
      <c r="F341" t="s">
        <v>24</v>
      </c>
      <c r="G341">
        <v>873</v>
      </c>
      <c r="H341">
        <v>107</v>
      </c>
      <c r="I341">
        <v>69</v>
      </c>
      <c r="J341">
        <v>32</v>
      </c>
      <c r="K341">
        <v>347680</v>
      </c>
      <c r="L341" s="1">
        <f t="shared" si="21"/>
        <v>0.12256586483390607</v>
      </c>
      <c r="M341" s="1">
        <f t="shared" si="22"/>
        <v>0.64485981308411211</v>
      </c>
      <c r="N341" s="1">
        <f t="shared" si="23"/>
        <v>0.46376811594202899</v>
      </c>
    </row>
    <row r="342" spans="1:14" x14ac:dyDescent="0.3">
      <c r="A342" t="s">
        <v>451</v>
      </c>
      <c r="B342" s="2" t="s">
        <v>452</v>
      </c>
      <c r="C342" s="2" t="str">
        <f t="shared" si="20"/>
        <v>Mar-2024</v>
      </c>
      <c r="D342" t="s">
        <v>16</v>
      </c>
      <c r="E342" t="s">
        <v>327</v>
      </c>
      <c r="F342" t="s">
        <v>14</v>
      </c>
      <c r="G342">
        <v>650</v>
      </c>
      <c r="H342">
        <v>107</v>
      </c>
      <c r="I342">
        <v>69</v>
      </c>
      <c r="J342">
        <v>20</v>
      </c>
      <c r="K342">
        <v>288300</v>
      </c>
      <c r="L342" s="1">
        <f t="shared" si="21"/>
        <v>0.16461538461538461</v>
      </c>
      <c r="M342" s="1">
        <f t="shared" si="22"/>
        <v>0.64485981308411211</v>
      </c>
      <c r="N342" s="1">
        <f t="shared" si="23"/>
        <v>0.28985507246376813</v>
      </c>
    </row>
    <row r="343" spans="1:14" x14ac:dyDescent="0.3">
      <c r="A343" t="s">
        <v>453</v>
      </c>
      <c r="B343" s="2" t="s">
        <v>452</v>
      </c>
      <c r="C343" s="2" t="str">
        <f t="shared" si="20"/>
        <v>Mar-2024</v>
      </c>
      <c r="D343" t="s">
        <v>20</v>
      </c>
      <c r="E343" t="s">
        <v>329</v>
      </c>
      <c r="F343" t="s">
        <v>18</v>
      </c>
      <c r="G343">
        <v>1660</v>
      </c>
      <c r="H343">
        <v>206</v>
      </c>
      <c r="I343">
        <v>151</v>
      </c>
      <c r="J343">
        <v>33</v>
      </c>
      <c r="K343">
        <v>239976</v>
      </c>
      <c r="L343" s="1">
        <f t="shared" si="21"/>
        <v>0.12409638554216867</v>
      </c>
      <c r="M343" s="1">
        <f t="shared" si="22"/>
        <v>0.73300970873786409</v>
      </c>
      <c r="N343" s="1">
        <f t="shared" si="23"/>
        <v>0.2185430463576159</v>
      </c>
    </row>
    <row r="344" spans="1:14" x14ac:dyDescent="0.3">
      <c r="A344" t="s">
        <v>454</v>
      </c>
      <c r="B344" s="2" t="s">
        <v>452</v>
      </c>
      <c r="C344" s="2" t="str">
        <f t="shared" si="20"/>
        <v>Mar-2024</v>
      </c>
      <c r="D344" t="s">
        <v>12</v>
      </c>
      <c r="E344" t="s">
        <v>325</v>
      </c>
      <c r="F344" t="s">
        <v>22</v>
      </c>
      <c r="G344">
        <v>1537</v>
      </c>
      <c r="H344">
        <v>289</v>
      </c>
      <c r="I344">
        <v>229</v>
      </c>
      <c r="J344">
        <v>91</v>
      </c>
      <c r="K344">
        <v>579397</v>
      </c>
      <c r="L344" s="1">
        <f t="shared" si="21"/>
        <v>0.18802862719583605</v>
      </c>
      <c r="M344" s="1">
        <f t="shared" si="22"/>
        <v>0.79238754325259519</v>
      </c>
      <c r="N344" s="1">
        <f t="shared" si="23"/>
        <v>0.39737991266375544</v>
      </c>
    </row>
    <row r="345" spans="1:14" x14ac:dyDescent="0.3">
      <c r="A345" t="s">
        <v>455</v>
      </c>
      <c r="B345" s="2" t="s">
        <v>452</v>
      </c>
      <c r="C345" s="2" t="str">
        <f t="shared" si="20"/>
        <v>Mar-2024</v>
      </c>
      <c r="D345" t="s">
        <v>16</v>
      </c>
      <c r="E345" t="s">
        <v>327</v>
      </c>
      <c r="F345" t="s">
        <v>24</v>
      </c>
      <c r="G345">
        <v>830</v>
      </c>
      <c r="H345">
        <v>140</v>
      </c>
      <c r="I345">
        <v>108</v>
      </c>
      <c r="J345">
        <v>26</v>
      </c>
      <c r="K345">
        <v>133796</v>
      </c>
      <c r="L345" s="1">
        <f t="shared" si="21"/>
        <v>0.16867469879518071</v>
      </c>
      <c r="M345" s="1">
        <f t="shared" si="22"/>
        <v>0.77142857142857146</v>
      </c>
      <c r="N345" s="1">
        <f t="shared" si="23"/>
        <v>0.24074074074074073</v>
      </c>
    </row>
    <row r="346" spans="1:14" x14ac:dyDescent="0.3">
      <c r="A346" t="s">
        <v>456</v>
      </c>
      <c r="B346" s="2" t="s">
        <v>457</v>
      </c>
      <c r="C346" s="2" t="str">
        <f t="shared" si="20"/>
        <v>Mar-2024</v>
      </c>
      <c r="D346" t="s">
        <v>20</v>
      </c>
      <c r="E346" t="s">
        <v>329</v>
      </c>
      <c r="F346" t="s">
        <v>14</v>
      </c>
      <c r="G346">
        <v>1425</v>
      </c>
      <c r="H346">
        <v>209</v>
      </c>
      <c r="I346">
        <v>100</v>
      </c>
      <c r="J346">
        <v>47</v>
      </c>
      <c r="K346">
        <v>351043</v>
      </c>
      <c r="L346" s="1">
        <f t="shared" si="21"/>
        <v>0.14666666666666667</v>
      </c>
      <c r="M346" s="1">
        <f t="shared" si="22"/>
        <v>0.4784688995215311</v>
      </c>
      <c r="N346" s="1">
        <f t="shared" si="23"/>
        <v>0.47</v>
      </c>
    </row>
    <row r="347" spans="1:14" x14ac:dyDescent="0.3">
      <c r="A347" t="s">
        <v>458</v>
      </c>
      <c r="B347" s="2" t="s">
        <v>457</v>
      </c>
      <c r="C347" s="2" t="str">
        <f t="shared" si="20"/>
        <v>Mar-2024</v>
      </c>
      <c r="D347" t="s">
        <v>12</v>
      </c>
      <c r="E347" t="s">
        <v>325</v>
      </c>
      <c r="F347" t="s">
        <v>18</v>
      </c>
      <c r="G347">
        <v>1299</v>
      </c>
      <c r="H347">
        <v>165</v>
      </c>
      <c r="I347">
        <v>90</v>
      </c>
      <c r="J347">
        <v>29</v>
      </c>
      <c r="K347">
        <v>395531</v>
      </c>
      <c r="L347" s="1">
        <f t="shared" si="21"/>
        <v>0.12702078521939955</v>
      </c>
      <c r="M347" s="1">
        <f t="shared" si="22"/>
        <v>0.54545454545454541</v>
      </c>
      <c r="N347" s="1">
        <f t="shared" si="23"/>
        <v>0.32222222222222224</v>
      </c>
    </row>
    <row r="348" spans="1:14" x14ac:dyDescent="0.3">
      <c r="A348" t="s">
        <v>459</v>
      </c>
      <c r="B348" s="2" t="s">
        <v>457</v>
      </c>
      <c r="C348" s="2" t="str">
        <f t="shared" si="20"/>
        <v>Mar-2024</v>
      </c>
      <c r="D348" t="s">
        <v>16</v>
      </c>
      <c r="E348" t="s">
        <v>327</v>
      </c>
      <c r="F348" t="s">
        <v>22</v>
      </c>
      <c r="G348">
        <v>1757</v>
      </c>
      <c r="H348">
        <v>481</v>
      </c>
      <c r="I348">
        <v>370</v>
      </c>
      <c r="J348">
        <v>145</v>
      </c>
      <c r="K348">
        <v>1793215</v>
      </c>
      <c r="L348" s="1">
        <f t="shared" si="21"/>
        <v>0.27376209447922595</v>
      </c>
      <c r="M348" s="1">
        <f t="shared" si="22"/>
        <v>0.76923076923076927</v>
      </c>
      <c r="N348" s="1">
        <f t="shared" si="23"/>
        <v>0.39189189189189189</v>
      </c>
    </row>
    <row r="349" spans="1:14" x14ac:dyDescent="0.3">
      <c r="A349" t="s">
        <v>460</v>
      </c>
      <c r="B349" s="2" t="s">
        <v>457</v>
      </c>
      <c r="C349" s="2" t="str">
        <f t="shared" si="20"/>
        <v>Mar-2024</v>
      </c>
      <c r="D349" t="s">
        <v>20</v>
      </c>
      <c r="E349" t="s">
        <v>329</v>
      </c>
      <c r="F349" t="s">
        <v>24</v>
      </c>
      <c r="G349">
        <v>598</v>
      </c>
      <c r="H349">
        <v>102</v>
      </c>
      <c r="I349">
        <v>52</v>
      </c>
      <c r="J349">
        <v>17</v>
      </c>
      <c r="K349">
        <v>89862</v>
      </c>
      <c r="L349" s="1">
        <f t="shared" si="21"/>
        <v>0.1705685618729097</v>
      </c>
      <c r="M349" s="1">
        <f t="shared" si="22"/>
        <v>0.50980392156862742</v>
      </c>
      <c r="N349" s="1">
        <f t="shared" si="23"/>
        <v>0.32692307692307693</v>
      </c>
    </row>
    <row r="350" spans="1:14" x14ac:dyDescent="0.3">
      <c r="A350" t="s">
        <v>461</v>
      </c>
      <c r="B350" s="2" t="s">
        <v>462</v>
      </c>
      <c r="C350" s="2" t="str">
        <f t="shared" si="20"/>
        <v>Mar-2024</v>
      </c>
      <c r="D350" t="s">
        <v>12</v>
      </c>
      <c r="E350" t="s">
        <v>325</v>
      </c>
      <c r="F350" t="s">
        <v>14</v>
      </c>
      <c r="G350">
        <v>1928</v>
      </c>
      <c r="H350">
        <v>412</v>
      </c>
      <c r="I350">
        <v>180</v>
      </c>
      <c r="J350">
        <v>51</v>
      </c>
      <c r="K350">
        <v>207978</v>
      </c>
      <c r="L350" s="1">
        <f t="shared" si="21"/>
        <v>0.21369294605809128</v>
      </c>
      <c r="M350" s="1">
        <f t="shared" si="22"/>
        <v>0.43689320388349512</v>
      </c>
      <c r="N350" s="1">
        <f t="shared" si="23"/>
        <v>0.28333333333333333</v>
      </c>
    </row>
    <row r="351" spans="1:14" x14ac:dyDescent="0.3">
      <c r="A351" t="s">
        <v>463</v>
      </c>
      <c r="B351" s="2" t="s">
        <v>462</v>
      </c>
      <c r="C351" s="2" t="str">
        <f t="shared" si="20"/>
        <v>Mar-2024</v>
      </c>
      <c r="D351" t="s">
        <v>16</v>
      </c>
      <c r="E351" t="s">
        <v>327</v>
      </c>
      <c r="F351" t="s">
        <v>18</v>
      </c>
      <c r="G351">
        <v>1069</v>
      </c>
      <c r="H351">
        <v>197</v>
      </c>
      <c r="I351">
        <v>102</v>
      </c>
      <c r="J351">
        <v>26</v>
      </c>
      <c r="K351">
        <v>228514</v>
      </c>
      <c r="L351" s="1">
        <f t="shared" si="21"/>
        <v>0.1842843779232928</v>
      </c>
      <c r="M351" s="1">
        <f t="shared" si="22"/>
        <v>0.51776649746192893</v>
      </c>
      <c r="N351" s="1">
        <f t="shared" si="23"/>
        <v>0.25490196078431371</v>
      </c>
    </row>
    <row r="352" spans="1:14" x14ac:dyDescent="0.3">
      <c r="A352" t="s">
        <v>464</v>
      </c>
      <c r="B352" s="2" t="s">
        <v>462</v>
      </c>
      <c r="C352" s="2" t="str">
        <f t="shared" si="20"/>
        <v>Mar-2024</v>
      </c>
      <c r="D352" t="s">
        <v>20</v>
      </c>
      <c r="E352" t="s">
        <v>329</v>
      </c>
      <c r="F352" t="s">
        <v>22</v>
      </c>
      <c r="G352">
        <v>1949</v>
      </c>
      <c r="H352">
        <v>493</v>
      </c>
      <c r="I352">
        <v>358</v>
      </c>
      <c r="J352">
        <v>88</v>
      </c>
      <c r="K352">
        <v>983136</v>
      </c>
      <c r="L352" s="1">
        <f t="shared" si="21"/>
        <v>0.25295023088763469</v>
      </c>
      <c r="M352" s="1">
        <f t="shared" si="22"/>
        <v>0.72616632860040564</v>
      </c>
      <c r="N352" s="1">
        <f t="shared" si="23"/>
        <v>0.24581005586592178</v>
      </c>
    </row>
    <row r="353" spans="1:14" x14ac:dyDescent="0.3">
      <c r="A353" t="s">
        <v>465</v>
      </c>
      <c r="B353" s="2" t="s">
        <v>462</v>
      </c>
      <c r="C353" s="2" t="str">
        <f t="shared" si="20"/>
        <v>Mar-2024</v>
      </c>
      <c r="D353" t="s">
        <v>12</v>
      </c>
      <c r="E353" t="s">
        <v>325</v>
      </c>
      <c r="F353" t="s">
        <v>24</v>
      </c>
      <c r="G353">
        <v>1569</v>
      </c>
      <c r="H353">
        <v>448</v>
      </c>
      <c r="I353">
        <v>207</v>
      </c>
      <c r="J353">
        <v>102</v>
      </c>
      <c r="K353">
        <v>1166268</v>
      </c>
      <c r="L353" s="1">
        <f t="shared" si="21"/>
        <v>0.28553218610579989</v>
      </c>
      <c r="M353" s="1">
        <f t="shared" si="22"/>
        <v>0.46205357142857145</v>
      </c>
      <c r="N353" s="1">
        <f t="shared" si="23"/>
        <v>0.49275362318840582</v>
      </c>
    </row>
    <row r="354" spans="1:14" x14ac:dyDescent="0.3">
      <c r="A354" t="s">
        <v>466</v>
      </c>
      <c r="B354" s="2" t="s">
        <v>467</v>
      </c>
      <c r="C354" s="2" t="str">
        <f t="shared" si="20"/>
        <v>Mar-2024</v>
      </c>
      <c r="D354" t="s">
        <v>16</v>
      </c>
      <c r="E354" t="s">
        <v>327</v>
      </c>
      <c r="F354" t="s">
        <v>14</v>
      </c>
      <c r="G354">
        <v>1383</v>
      </c>
      <c r="H354">
        <v>342</v>
      </c>
      <c r="I354">
        <v>219</v>
      </c>
      <c r="J354">
        <v>82</v>
      </c>
      <c r="K354">
        <v>640666</v>
      </c>
      <c r="L354" s="1">
        <f t="shared" si="21"/>
        <v>0.24728850325379609</v>
      </c>
      <c r="M354" s="1">
        <f t="shared" si="22"/>
        <v>0.64035087719298245</v>
      </c>
      <c r="N354" s="1">
        <f t="shared" si="23"/>
        <v>0.37442922374429222</v>
      </c>
    </row>
    <row r="355" spans="1:14" x14ac:dyDescent="0.3">
      <c r="A355" t="s">
        <v>468</v>
      </c>
      <c r="B355" s="2" t="s">
        <v>467</v>
      </c>
      <c r="C355" s="2" t="str">
        <f t="shared" si="20"/>
        <v>Mar-2024</v>
      </c>
      <c r="D355" t="s">
        <v>20</v>
      </c>
      <c r="E355" t="s">
        <v>329</v>
      </c>
      <c r="F355" t="s">
        <v>18</v>
      </c>
      <c r="G355">
        <v>882</v>
      </c>
      <c r="H355">
        <v>246</v>
      </c>
      <c r="I355">
        <v>131</v>
      </c>
      <c r="J355">
        <v>53</v>
      </c>
      <c r="K355">
        <v>721807</v>
      </c>
      <c r="L355" s="1">
        <f t="shared" si="21"/>
        <v>0.27891156462585032</v>
      </c>
      <c r="M355" s="1">
        <f t="shared" si="22"/>
        <v>0.53252032520325199</v>
      </c>
      <c r="N355" s="1">
        <f t="shared" si="23"/>
        <v>0.40458015267175573</v>
      </c>
    </row>
    <row r="356" spans="1:14" x14ac:dyDescent="0.3">
      <c r="A356" t="s">
        <v>469</v>
      </c>
      <c r="B356" s="2" t="s">
        <v>467</v>
      </c>
      <c r="C356" s="2" t="str">
        <f t="shared" si="20"/>
        <v>Mar-2024</v>
      </c>
      <c r="D356" t="s">
        <v>12</v>
      </c>
      <c r="E356" t="s">
        <v>325</v>
      </c>
      <c r="F356" t="s">
        <v>22</v>
      </c>
      <c r="G356">
        <v>1843</v>
      </c>
      <c r="H356">
        <v>392</v>
      </c>
      <c r="I356">
        <v>189</v>
      </c>
      <c r="J356">
        <v>52</v>
      </c>
      <c r="K356">
        <v>320216</v>
      </c>
      <c r="L356" s="1">
        <f t="shared" si="21"/>
        <v>0.21269669017905588</v>
      </c>
      <c r="M356" s="1">
        <f t="shared" si="22"/>
        <v>0.48214285714285715</v>
      </c>
      <c r="N356" s="1">
        <f t="shared" si="23"/>
        <v>0.27513227513227512</v>
      </c>
    </row>
    <row r="357" spans="1:14" x14ac:dyDescent="0.3">
      <c r="A357" t="s">
        <v>470</v>
      </c>
      <c r="B357" s="2" t="s">
        <v>467</v>
      </c>
      <c r="C357" s="2" t="str">
        <f t="shared" si="20"/>
        <v>Mar-2024</v>
      </c>
      <c r="D357" t="s">
        <v>16</v>
      </c>
      <c r="E357" t="s">
        <v>327</v>
      </c>
      <c r="F357" t="s">
        <v>24</v>
      </c>
      <c r="G357">
        <v>961</v>
      </c>
      <c r="H357">
        <v>104</v>
      </c>
      <c r="I357">
        <v>57</v>
      </c>
      <c r="J357">
        <v>20</v>
      </c>
      <c r="K357">
        <v>230300</v>
      </c>
      <c r="L357" s="1">
        <f t="shared" si="21"/>
        <v>0.10822060353798127</v>
      </c>
      <c r="M357" s="1">
        <f t="shared" si="22"/>
        <v>0.54807692307692313</v>
      </c>
      <c r="N357" s="1">
        <f t="shared" si="23"/>
        <v>0.35087719298245612</v>
      </c>
    </row>
    <row r="358" spans="1:14" x14ac:dyDescent="0.3">
      <c r="A358" t="s">
        <v>471</v>
      </c>
      <c r="B358" s="2" t="s">
        <v>472</v>
      </c>
      <c r="C358" s="2" t="str">
        <f t="shared" si="20"/>
        <v>Mar-2024</v>
      </c>
      <c r="D358" t="s">
        <v>20</v>
      </c>
      <c r="E358" t="s">
        <v>329</v>
      </c>
      <c r="F358" t="s">
        <v>14</v>
      </c>
      <c r="G358">
        <v>777</v>
      </c>
      <c r="H358">
        <v>183</v>
      </c>
      <c r="I358">
        <v>101</v>
      </c>
      <c r="J358">
        <v>46</v>
      </c>
      <c r="K358">
        <v>687930</v>
      </c>
      <c r="L358" s="1">
        <f t="shared" si="21"/>
        <v>0.23552123552123552</v>
      </c>
      <c r="M358" s="1">
        <f t="shared" si="22"/>
        <v>0.55191256830601088</v>
      </c>
      <c r="N358" s="1">
        <f t="shared" si="23"/>
        <v>0.45544554455445546</v>
      </c>
    </row>
    <row r="359" spans="1:14" x14ac:dyDescent="0.3">
      <c r="A359" t="s">
        <v>473</v>
      </c>
      <c r="B359" s="2" t="s">
        <v>472</v>
      </c>
      <c r="C359" s="2" t="str">
        <f t="shared" si="20"/>
        <v>Mar-2024</v>
      </c>
      <c r="D359" t="s">
        <v>12</v>
      </c>
      <c r="E359" t="s">
        <v>325</v>
      </c>
      <c r="F359" t="s">
        <v>18</v>
      </c>
      <c r="G359">
        <v>529</v>
      </c>
      <c r="H359">
        <v>128</v>
      </c>
      <c r="I359">
        <v>96</v>
      </c>
      <c r="J359">
        <v>23</v>
      </c>
      <c r="K359">
        <v>257071</v>
      </c>
      <c r="L359" s="1">
        <f t="shared" si="21"/>
        <v>0.24196597353497165</v>
      </c>
      <c r="M359" s="1">
        <f t="shared" si="22"/>
        <v>0.75</v>
      </c>
      <c r="N359" s="1">
        <f t="shared" si="23"/>
        <v>0.23958333333333334</v>
      </c>
    </row>
    <row r="360" spans="1:14" x14ac:dyDescent="0.3">
      <c r="A360" t="s">
        <v>474</v>
      </c>
      <c r="B360" s="2" t="s">
        <v>472</v>
      </c>
      <c r="C360" s="2" t="str">
        <f t="shared" si="20"/>
        <v>Mar-2024</v>
      </c>
      <c r="D360" t="s">
        <v>16</v>
      </c>
      <c r="E360" t="s">
        <v>327</v>
      </c>
      <c r="F360" t="s">
        <v>22</v>
      </c>
      <c r="G360">
        <v>1379</v>
      </c>
      <c r="H360">
        <v>231</v>
      </c>
      <c r="I360">
        <v>129</v>
      </c>
      <c r="J360">
        <v>38</v>
      </c>
      <c r="K360">
        <v>509960</v>
      </c>
      <c r="L360" s="1">
        <f t="shared" si="21"/>
        <v>0.16751269035532995</v>
      </c>
      <c r="M360" s="1">
        <f t="shared" si="22"/>
        <v>0.55844155844155841</v>
      </c>
      <c r="N360" s="1">
        <f t="shared" si="23"/>
        <v>0.29457364341085274</v>
      </c>
    </row>
    <row r="361" spans="1:14" x14ac:dyDescent="0.3">
      <c r="A361" t="s">
        <v>475</v>
      </c>
      <c r="B361" s="2" t="s">
        <v>472</v>
      </c>
      <c r="C361" s="2" t="str">
        <f t="shared" si="20"/>
        <v>Mar-2024</v>
      </c>
      <c r="D361" t="s">
        <v>20</v>
      </c>
      <c r="E361" t="s">
        <v>329</v>
      </c>
      <c r="F361" t="s">
        <v>24</v>
      </c>
      <c r="G361">
        <v>1513</v>
      </c>
      <c r="H361">
        <v>267</v>
      </c>
      <c r="I361">
        <v>175</v>
      </c>
      <c r="J361">
        <v>54</v>
      </c>
      <c r="K361">
        <v>765774</v>
      </c>
      <c r="L361" s="1">
        <f t="shared" si="21"/>
        <v>0.17647058823529413</v>
      </c>
      <c r="M361" s="1">
        <f t="shared" si="22"/>
        <v>0.65543071161048694</v>
      </c>
      <c r="N361" s="1">
        <f t="shared" si="23"/>
        <v>0.30857142857142855</v>
      </c>
    </row>
    <row r="362" spans="1:14" x14ac:dyDescent="0.3">
      <c r="A362" t="s">
        <v>476</v>
      </c>
      <c r="B362" s="2" t="s">
        <v>477</v>
      </c>
      <c r="C362" s="2" t="str">
        <f t="shared" si="20"/>
        <v>Mar-2024</v>
      </c>
      <c r="D362" t="s">
        <v>12</v>
      </c>
      <c r="E362" t="s">
        <v>325</v>
      </c>
      <c r="F362" t="s">
        <v>14</v>
      </c>
      <c r="G362">
        <v>1188</v>
      </c>
      <c r="H362">
        <v>172</v>
      </c>
      <c r="I362">
        <v>98</v>
      </c>
      <c r="J362">
        <v>39</v>
      </c>
      <c r="K362">
        <v>396942</v>
      </c>
      <c r="L362" s="1">
        <f t="shared" si="21"/>
        <v>0.14478114478114479</v>
      </c>
      <c r="M362" s="1">
        <f t="shared" si="22"/>
        <v>0.56976744186046513</v>
      </c>
      <c r="N362" s="1">
        <f t="shared" si="23"/>
        <v>0.39795918367346939</v>
      </c>
    </row>
    <row r="363" spans="1:14" x14ac:dyDescent="0.3">
      <c r="A363" t="s">
        <v>478</v>
      </c>
      <c r="B363" s="2" t="s">
        <v>477</v>
      </c>
      <c r="C363" s="2" t="str">
        <f t="shared" si="20"/>
        <v>Mar-2024</v>
      </c>
      <c r="D363" t="s">
        <v>16</v>
      </c>
      <c r="E363" t="s">
        <v>327</v>
      </c>
      <c r="F363" t="s">
        <v>18</v>
      </c>
      <c r="G363">
        <v>890</v>
      </c>
      <c r="H363">
        <v>249</v>
      </c>
      <c r="I363">
        <v>115</v>
      </c>
      <c r="J363">
        <v>56</v>
      </c>
      <c r="K363">
        <v>302288</v>
      </c>
      <c r="L363" s="1">
        <f t="shared" si="21"/>
        <v>0.27977528089887638</v>
      </c>
      <c r="M363" s="1">
        <f t="shared" si="22"/>
        <v>0.46184738955823296</v>
      </c>
      <c r="N363" s="1">
        <f t="shared" si="23"/>
        <v>0.48695652173913045</v>
      </c>
    </row>
    <row r="364" spans="1:14" x14ac:dyDescent="0.3">
      <c r="A364" t="s">
        <v>479</v>
      </c>
      <c r="B364" s="2" t="s">
        <v>477</v>
      </c>
      <c r="C364" s="2" t="str">
        <f t="shared" si="20"/>
        <v>Mar-2024</v>
      </c>
      <c r="D364" t="s">
        <v>20</v>
      </c>
      <c r="E364" t="s">
        <v>329</v>
      </c>
      <c r="F364" t="s">
        <v>22</v>
      </c>
      <c r="G364">
        <v>1258</v>
      </c>
      <c r="H364">
        <v>286</v>
      </c>
      <c r="I364">
        <v>173</v>
      </c>
      <c r="J364">
        <v>63</v>
      </c>
      <c r="K364">
        <v>426006</v>
      </c>
      <c r="L364" s="1">
        <f t="shared" si="21"/>
        <v>0.22734499205087441</v>
      </c>
      <c r="M364" s="1">
        <f t="shared" si="22"/>
        <v>0.6048951048951049</v>
      </c>
      <c r="N364" s="1">
        <f t="shared" si="23"/>
        <v>0.36416184971098264</v>
      </c>
    </row>
    <row r="365" spans="1:14" x14ac:dyDescent="0.3">
      <c r="A365" t="s">
        <v>480</v>
      </c>
      <c r="B365" s="2" t="s">
        <v>477</v>
      </c>
      <c r="C365" s="2" t="str">
        <f t="shared" si="20"/>
        <v>Mar-2024</v>
      </c>
      <c r="D365" t="s">
        <v>12</v>
      </c>
      <c r="E365" t="s">
        <v>325</v>
      </c>
      <c r="F365" t="s">
        <v>24</v>
      </c>
      <c r="G365">
        <v>1941</v>
      </c>
      <c r="H365">
        <v>330</v>
      </c>
      <c r="I365">
        <v>219</v>
      </c>
      <c r="J365">
        <v>101</v>
      </c>
      <c r="K365">
        <v>673872</v>
      </c>
      <c r="L365" s="1">
        <f t="shared" si="21"/>
        <v>0.17001545595054096</v>
      </c>
      <c r="M365" s="1">
        <f t="shared" si="22"/>
        <v>0.66363636363636369</v>
      </c>
      <c r="N365" s="1">
        <f t="shared" si="23"/>
        <v>0.46118721461187212</v>
      </c>
    </row>
    <row r="366" spans="1:14" x14ac:dyDescent="0.3">
      <c r="A366" t="s">
        <v>481</v>
      </c>
      <c r="B366" s="2" t="s">
        <v>482</v>
      </c>
      <c r="C366" s="2" t="str">
        <f t="shared" si="20"/>
        <v>Apr-2024</v>
      </c>
      <c r="D366" t="s">
        <v>16</v>
      </c>
      <c r="E366" t="s">
        <v>483</v>
      </c>
      <c r="F366" t="s">
        <v>14</v>
      </c>
      <c r="G366">
        <v>1255</v>
      </c>
      <c r="H366">
        <v>230</v>
      </c>
      <c r="I366">
        <v>150</v>
      </c>
      <c r="J366">
        <v>35</v>
      </c>
      <c r="K366">
        <v>258930</v>
      </c>
      <c r="L366" s="1">
        <f t="shared" si="21"/>
        <v>0.18326693227091634</v>
      </c>
      <c r="M366" s="1">
        <f t="shared" si="22"/>
        <v>0.65217391304347827</v>
      </c>
      <c r="N366" s="1">
        <f t="shared" si="23"/>
        <v>0.23333333333333334</v>
      </c>
    </row>
    <row r="367" spans="1:14" x14ac:dyDescent="0.3">
      <c r="A367" t="s">
        <v>484</v>
      </c>
      <c r="B367" s="2" t="s">
        <v>482</v>
      </c>
      <c r="C367" s="2" t="str">
        <f t="shared" si="20"/>
        <v>Apr-2024</v>
      </c>
      <c r="D367" t="s">
        <v>20</v>
      </c>
      <c r="E367" t="s">
        <v>485</v>
      </c>
      <c r="F367" t="s">
        <v>18</v>
      </c>
      <c r="G367">
        <v>831</v>
      </c>
      <c r="H367">
        <v>106</v>
      </c>
      <c r="I367">
        <v>47</v>
      </c>
      <c r="J367">
        <v>21</v>
      </c>
      <c r="K367">
        <v>189021</v>
      </c>
      <c r="L367" s="1">
        <f t="shared" si="21"/>
        <v>0.12755716004813478</v>
      </c>
      <c r="M367" s="1">
        <f t="shared" si="22"/>
        <v>0.44339622641509435</v>
      </c>
      <c r="N367" s="1">
        <f t="shared" si="23"/>
        <v>0.44680851063829785</v>
      </c>
    </row>
    <row r="368" spans="1:14" x14ac:dyDescent="0.3">
      <c r="A368" t="s">
        <v>486</v>
      </c>
      <c r="B368" s="2" t="s">
        <v>482</v>
      </c>
      <c r="C368" s="2" t="str">
        <f t="shared" si="20"/>
        <v>Apr-2024</v>
      </c>
      <c r="D368" t="s">
        <v>12</v>
      </c>
      <c r="E368" t="s">
        <v>487</v>
      </c>
      <c r="F368" t="s">
        <v>22</v>
      </c>
      <c r="G368">
        <v>1906</v>
      </c>
      <c r="H368">
        <v>486</v>
      </c>
      <c r="I368">
        <v>320</v>
      </c>
      <c r="J368">
        <v>124</v>
      </c>
      <c r="K368">
        <v>1169568</v>
      </c>
      <c r="L368" s="1">
        <f t="shared" si="21"/>
        <v>0.25498426023084997</v>
      </c>
      <c r="M368" s="1">
        <f t="shared" si="22"/>
        <v>0.65843621399176955</v>
      </c>
      <c r="N368" s="1">
        <f t="shared" si="23"/>
        <v>0.38750000000000001</v>
      </c>
    </row>
    <row r="369" spans="1:14" x14ac:dyDescent="0.3">
      <c r="A369" t="s">
        <v>488</v>
      </c>
      <c r="B369" s="2" t="s">
        <v>482</v>
      </c>
      <c r="C369" s="2" t="str">
        <f t="shared" si="20"/>
        <v>Apr-2024</v>
      </c>
      <c r="D369" t="s">
        <v>16</v>
      </c>
      <c r="E369" t="s">
        <v>483</v>
      </c>
      <c r="F369" t="s">
        <v>24</v>
      </c>
      <c r="G369">
        <v>1949</v>
      </c>
      <c r="H369">
        <v>273</v>
      </c>
      <c r="I369">
        <v>117</v>
      </c>
      <c r="J369">
        <v>24</v>
      </c>
      <c r="K369">
        <v>159384</v>
      </c>
      <c r="L369" s="1">
        <f t="shared" si="21"/>
        <v>0.14007183170856849</v>
      </c>
      <c r="M369" s="1">
        <f t="shared" si="22"/>
        <v>0.42857142857142855</v>
      </c>
      <c r="N369" s="1">
        <f t="shared" si="23"/>
        <v>0.20512820512820512</v>
      </c>
    </row>
    <row r="370" spans="1:14" x14ac:dyDescent="0.3">
      <c r="A370" t="s">
        <v>489</v>
      </c>
      <c r="B370" s="2" t="s">
        <v>490</v>
      </c>
      <c r="C370" s="2" t="str">
        <f t="shared" si="20"/>
        <v>Apr-2024</v>
      </c>
      <c r="D370" t="s">
        <v>20</v>
      </c>
      <c r="E370" t="s">
        <v>485</v>
      </c>
      <c r="F370" t="s">
        <v>14</v>
      </c>
      <c r="G370">
        <v>1976</v>
      </c>
      <c r="H370">
        <v>533</v>
      </c>
      <c r="I370">
        <v>321</v>
      </c>
      <c r="J370">
        <v>137</v>
      </c>
      <c r="K370">
        <v>1073669</v>
      </c>
      <c r="L370" s="1">
        <f t="shared" si="21"/>
        <v>0.26973684210526316</v>
      </c>
      <c r="M370" s="1">
        <f t="shared" si="22"/>
        <v>0.60225140712945591</v>
      </c>
      <c r="N370" s="1">
        <f t="shared" si="23"/>
        <v>0.42679127725856697</v>
      </c>
    </row>
    <row r="371" spans="1:14" x14ac:dyDescent="0.3">
      <c r="A371" t="s">
        <v>491</v>
      </c>
      <c r="B371" s="2" t="s">
        <v>490</v>
      </c>
      <c r="C371" s="2" t="str">
        <f t="shared" si="20"/>
        <v>Apr-2024</v>
      </c>
      <c r="D371" t="s">
        <v>12</v>
      </c>
      <c r="E371" t="s">
        <v>487</v>
      </c>
      <c r="F371" t="s">
        <v>18</v>
      </c>
      <c r="G371">
        <v>1460</v>
      </c>
      <c r="H371">
        <v>236</v>
      </c>
      <c r="I371">
        <v>177</v>
      </c>
      <c r="J371">
        <v>69</v>
      </c>
      <c r="K371">
        <v>784668</v>
      </c>
      <c r="L371" s="1">
        <f t="shared" si="21"/>
        <v>0.16164383561643836</v>
      </c>
      <c r="M371" s="1">
        <f t="shared" si="22"/>
        <v>0.75</v>
      </c>
      <c r="N371" s="1">
        <f t="shared" si="23"/>
        <v>0.38983050847457629</v>
      </c>
    </row>
    <row r="372" spans="1:14" x14ac:dyDescent="0.3">
      <c r="A372" t="s">
        <v>492</v>
      </c>
      <c r="B372" s="2" t="s">
        <v>490</v>
      </c>
      <c r="C372" s="2" t="str">
        <f t="shared" si="20"/>
        <v>Apr-2024</v>
      </c>
      <c r="D372" t="s">
        <v>16</v>
      </c>
      <c r="E372" t="s">
        <v>483</v>
      </c>
      <c r="F372" t="s">
        <v>22</v>
      </c>
      <c r="G372">
        <v>501</v>
      </c>
      <c r="H372">
        <v>102</v>
      </c>
      <c r="I372">
        <v>40</v>
      </c>
      <c r="J372">
        <v>15</v>
      </c>
      <c r="K372">
        <v>85065</v>
      </c>
      <c r="L372" s="1">
        <f t="shared" si="21"/>
        <v>0.20359281437125748</v>
      </c>
      <c r="M372" s="1">
        <f t="shared" si="22"/>
        <v>0.39215686274509803</v>
      </c>
      <c r="N372" s="1">
        <f t="shared" si="23"/>
        <v>0.375</v>
      </c>
    </row>
    <row r="373" spans="1:14" x14ac:dyDescent="0.3">
      <c r="A373" t="s">
        <v>493</v>
      </c>
      <c r="B373" s="2" t="s">
        <v>490</v>
      </c>
      <c r="C373" s="2" t="str">
        <f t="shared" si="20"/>
        <v>Apr-2024</v>
      </c>
      <c r="D373" t="s">
        <v>20</v>
      </c>
      <c r="E373" t="s">
        <v>485</v>
      </c>
      <c r="F373" t="s">
        <v>24</v>
      </c>
      <c r="G373">
        <v>706</v>
      </c>
      <c r="H373">
        <v>144</v>
      </c>
      <c r="I373">
        <v>67</v>
      </c>
      <c r="J373">
        <v>17</v>
      </c>
      <c r="K373">
        <v>74273</v>
      </c>
      <c r="L373" s="1">
        <f t="shared" si="21"/>
        <v>0.20396600566572237</v>
      </c>
      <c r="M373" s="1">
        <f t="shared" si="22"/>
        <v>0.46527777777777779</v>
      </c>
      <c r="N373" s="1">
        <f t="shared" si="23"/>
        <v>0.2537313432835821</v>
      </c>
    </row>
    <row r="374" spans="1:14" x14ac:dyDescent="0.3">
      <c r="A374" t="s">
        <v>494</v>
      </c>
      <c r="B374" s="2" t="s">
        <v>495</v>
      </c>
      <c r="C374" s="2" t="str">
        <f t="shared" si="20"/>
        <v>Apr-2024</v>
      </c>
      <c r="D374" t="s">
        <v>12</v>
      </c>
      <c r="E374" t="s">
        <v>487</v>
      </c>
      <c r="F374" t="s">
        <v>14</v>
      </c>
      <c r="G374">
        <v>1229</v>
      </c>
      <c r="H374">
        <v>227</v>
      </c>
      <c r="I374">
        <v>179</v>
      </c>
      <c r="J374">
        <v>78</v>
      </c>
      <c r="K374">
        <v>1005732</v>
      </c>
      <c r="L374" s="1">
        <f t="shared" si="21"/>
        <v>0.18470301057770544</v>
      </c>
      <c r="M374" s="1">
        <f t="shared" si="22"/>
        <v>0.78854625550660795</v>
      </c>
      <c r="N374" s="1">
        <f t="shared" si="23"/>
        <v>0.43575418994413406</v>
      </c>
    </row>
    <row r="375" spans="1:14" x14ac:dyDescent="0.3">
      <c r="A375" t="s">
        <v>496</v>
      </c>
      <c r="B375" s="2" t="s">
        <v>495</v>
      </c>
      <c r="C375" s="2" t="str">
        <f t="shared" si="20"/>
        <v>Apr-2024</v>
      </c>
      <c r="D375" t="s">
        <v>16</v>
      </c>
      <c r="E375" t="s">
        <v>483</v>
      </c>
      <c r="F375" t="s">
        <v>18</v>
      </c>
      <c r="G375">
        <v>1042</v>
      </c>
      <c r="H375">
        <v>107</v>
      </c>
      <c r="I375">
        <v>53</v>
      </c>
      <c r="J375">
        <v>18</v>
      </c>
      <c r="K375">
        <v>94446</v>
      </c>
      <c r="L375" s="1">
        <f t="shared" si="21"/>
        <v>0.10268714011516315</v>
      </c>
      <c r="M375" s="1">
        <f t="shared" si="22"/>
        <v>0.49532710280373832</v>
      </c>
      <c r="N375" s="1">
        <f t="shared" si="23"/>
        <v>0.33962264150943394</v>
      </c>
    </row>
    <row r="376" spans="1:14" x14ac:dyDescent="0.3">
      <c r="A376" t="s">
        <v>497</v>
      </c>
      <c r="B376" s="2" t="s">
        <v>495</v>
      </c>
      <c r="C376" s="2" t="str">
        <f t="shared" si="20"/>
        <v>Apr-2024</v>
      </c>
      <c r="D376" t="s">
        <v>20</v>
      </c>
      <c r="E376" t="s">
        <v>485</v>
      </c>
      <c r="F376" t="s">
        <v>22</v>
      </c>
      <c r="G376">
        <v>1811</v>
      </c>
      <c r="H376">
        <v>198</v>
      </c>
      <c r="I376">
        <v>126</v>
      </c>
      <c r="J376">
        <v>54</v>
      </c>
      <c r="K376">
        <v>590274</v>
      </c>
      <c r="L376" s="1">
        <f t="shared" si="21"/>
        <v>0.10933186085035891</v>
      </c>
      <c r="M376" s="1">
        <f t="shared" si="22"/>
        <v>0.63636363636363635</v>
      </c>
      <c r="N376" s="1">
        <f t="shared" si="23"/>
        <v>0.42857142857142855</v>
      </c>
    </row>
    <row r="377" spans="1:14" x14ac:dyDescent="0.3">
      <c r="A377" t="s">
        <v>498</v>
      </c>
      <c r="B377" s="2" t="s">
        <v>495</v>
      </c>
      <c r="C377" s="2" t="str">
        <f t="shared" si="20"/>
        <v>Apr-2024</v>
      </c>
      <c r="D377" t="s">
        <v>12</v>
      </c>
      <c r="E377" t="s">
        <v>487</v>
      </c>
      <c r="F377" t="s">
        <v>24</v>
      </c>
      <c r="G377">
        <v>1115</v>
      </c>
      <c r="H377">
        <v>185</v>
      </c>
      <c r="I377">
        <v>147</v>
      </c>
      <c r="J377">
        <v>48</v>
      </c>
      <c r="K377">
        <v>373632</v>
      </c>
      <c r="L377" s="1">
        <f t="shared" si="21"/>
        <v>0.16591928251121077</v>
      </c>
      <c r="M377" s="1">
        <f t="shared" si="22"/>
        <v>0.79459459459459458</v>
      </c>
      <c r="N377" s="1">
        <f t="shared" si="23"/>
        <v>0.32653061224489793</v>
      </c>
    </row>
    <row r="378" spans="1:14" x14ac:dyDescent="0.3">
      <c r="A378" t="s">
        <v>499</v>
      </c>
      <c r="B378" s="2" t="s">
        <v>500</v>
      </c>
      <c r="C378" s="2" t="str">
        <f t="shared" si="20"/>
        <v>Apr-2024</v>
      </c>
      <c r="D378" t="s">
        <v>16</v>
      </c>
      <c r="E378" t="s">
        <v>483</v>
      </c>
      <c r="F378" t="s">
        <v>14</v>
      </c>
      <c r="G378">
        <v>925</v>
      </c>
      <c r="H378">
        <v>227</v>
      </c>
      <c r="I378">
        <v>123</v>
      </c>
      <c r="J378">
        <v>43</v>
      </c>
      <c r="K378">
        <v>245401</v>
      </c>
      <c r="L378" s="1">
        <f t="shared" si="21"/>
        <v>0.2454054054054054</v>
      </c>
      <c r="M378" s="1">
        <f t="shared" si="22"/>
        <v>0.54185022026431717</v>
      </c>
      <c r="N378" s="1">
        <f t="shared" si="23"/>
        <v>0.34959349593495936</v>
      </c>
    </row>
    <row r="379" spans="1:14" x14ac:dyDescent="0.3">
      <c r="A379" t="s">
        <v>501</v>
      </c>
      <c r="B379" s="2" t="s">
        <v>500</v>
      </c>
      <c r="C379" s="2" t="str">
        <f t="shared" si="20"/>
        <v>Apr-2024</v>
      </c>
      <c r="D379" t="s">
        <v>20</v>
      </c>
      <c r="E379" t="s">
        <v>485</v>
      </c>
      <c r="F379" t="s">
        <v>18</v>
      </c>
      <c r="G379">
        <v>1876</v>
      </c>
      <c r="H379">
        <v>424</v>
      </c>
      <c r="I379">
        <v>298</v>
      </c>
      <c r="J379">
        <v>103</v>
      </c>
      <c r="K379">
        <v>439398</v>
      </c>
      <c r="L379" s="1">
        <f t="shared" si="21"/>
        <v>0.22601279317697229</v>
      </c>
      <c r="M379" s="1">
        <f t="shared" si="22"/>
        <v>0.70283018867924529</v>
      </c>
      <c r="N379" s="1">
        <f t="shared" si="23"/>
        <v>0.34563758389261745</v>
      </c>
    </row>
    <row r="380" spans="1:14" x14ac:dyDescent="0.3">
      <c r="A380" t="s">
        <v>502</v>
      </c>
      <c r="B380" s="2" t="s">
        <v>500</v>
      </c>
      <c r="C380" s="2" t="str">
        <f t="shared" si="20"/>
        <v>Apr-2024</v>
      </c>
      <c r="D380" t="s">
        <v>12</v>
      </c>
      <c r="E380" t="s">
        <v>487</v>
      </c>
      <c r="F380" t="s">
        <v>22</v>
      </c>
      <c r="G380">
        <v>781</v>
      </c>
      <c r="H380">
        <v>113</v>
      </c>
      <c r="I380">
        <v>71</v>
      </c>
      <c r="J380">
        <v>32</v>
      </c>
      <c r="K380">
        <v>161504</v>
      </c>
      <c r="L380" s="1">
        <f t="shared" si="21"/>
        <v>0.14468629961587709</v>
      </c>
      <c r="M380" s="1">
        <f t="shared" si="22"/>
        <v>0.62831858407079644</v>
      </c>
      <c r="N380" s="1">
        <f t="shared" si="23"/>
        <v>0.45070422535211269</v>
      </c>
    </row>
    <row r="381" spans="1:14" x14ac:dyDescent="0.3">
      <c r="A381" t="s">
        <v>503</v>
      </c>
      <c r="B381" s="2" t="s">
        <v>500</v>
      </c>
      <c r="C381" s="2" t="str">
        <f t="shared" si="20"/>
        <v>Apr-2024</v>
      </c>
      <c r="D381" t="s">
        <v>16</v>
      </c>
      <c r="E381" t="s">
        <v>483</v>
      </c>
      <c r="F381" t="s">
        <v>24</v>
      </c>
      <c r="G381">
        <v>767</v>
      </c>
      <c r="H381">
        <v>121</v>
      </c>
      <c r="I381">
        <v>87</v>
      </c>
      <c r="J381">
        <v>27</v>
      </c>
      <c r="K381">
        <v>165267</v>
      </c>
      <c r="L381" s="1">
        <f t="shared" si="21"/>
        <v>0.15775749674054759</v>
      </c>
      <c r="M381" s="1">
        <f t="shared" si="22"/>
        <v>0.71900826446280997</v>
      </c>
      <c r="N381" s="1">
        <f t="shared" si="23"/>
        <v>0.31034482758620691</v>
      </c>
    </row>
    <row r="382" spans="1:14" x14ac:dyDescent="0.3">
      <c r="A382" t="s">
        <v>504</v>
      </c>
      <c r="B382" s="2" t="s">
        <v>505</v>
      </c>
      <c r="C382" s="2" t="str">
        <f t="shared" si="20"/>
        <v>Apr-2024</v>
      </c>
      <c r="D382" t="s">
        <v>20</v>
      </c>
      <c r="E382" t="s">
        <v>485</v>
      </c>
      <c r="F382" t="s">
        <v>14</v>
      </c>
      <c r="G382">
        <v>1917</v>
      </c>
      <c r="H382">
        <v>318</v>
      </c>
      <c r="I382">
        <v>236</v>
      </c>
      <c r="J382">
        <v>112</v>
      </c>
      <c r="K382">
        <v>1345008</v>
      </c>
      <c r="L382" s="1">
        <f t="shared" si="21"/>
        <v>0.16588419405320814</v>
      </c>
      <c r="M382" s="1">
        <f t="shared" si="22"/>
        <v>0.74213836477987416</v>
      </c>
      <c r="N382" s="1">
        <f t="shared" si="23"/>
        <v>0.47457627118644069</v>
      </c>
    </row>
    <row r="383" spans="1:14" x14ac:dyDescent="0.3">
      <c r="A383" t="s">
        <v>506</v>
      </c>
      <c r="B383" s="2" t="s">
        <v>505</v>
      </c>
      <c r="C383" s="2" t="str">
        <f t="shared" si="20"/>
        <v>Apr-2024</v>
      </c>
      <c r="D383" t="s">
        <v>12</v>
      </c>
      <c r="E383" t="s">
        <v>487</v>
      </c>
      <c r="F383" t="s">
        <v>18</v>
      </c>
      <c r="G383">
        <v>503</v>
      </c>
      <c r="H383">
        <v>53</v>
      </c>
      <c r="I383">
        <v>36</v>
      </c>
      <c r="J383">
        <v>16</v>
      </c>
      <c r="K383">
        <v>80352</v>
      </c>
      <c r="L383" s="1">
        <f t="shared" si="21"/>
        <v>0.10536779324055666</v>
      </c>
      <c r="M383" s="1">
        <f t="shared" si="22"/>
        <v>0.67924528301886788</v>
      </c>
      <c r="N383" s="1">
        <f t="shared" si="23"/>
        <v>0.44444444444444442</v>
      </c>
    </row>
    <row r="384" spans="1:14" x14ac:dyDescent="0.3">
      <c r="A384" t="s">
        <v>507</v>
      </c>
      <c r="B384" s="2" t="s">
        <v>505</v>
      </c>
      <c r="C384" s="2" t="str">
        <f t="shared" si="20"/>
        <v>Apr-2024</v>
      </c>
      <c r="D384" t="s">
        <v>16</v>
      </c>
      <c r="E384" t="s">
        <v>483</v>
      </c>
      <c r="F384" t="s">
        <v>22</v>
      </c>
      <c r="G384">
        <v>1254</v>
      </c>
      <c r="H384">
        <v>299</v>
      </c>
      <c r="I384">
        <v>149</v>
      </c>
      <c r="J384">
        <v>31</v>
      </c>
      <c r="K384">
        <v>295058</v>
      </c>
      <c r="L384" s="1">
        <f t="shared" si="21"/>
        <v>0.23843700159489634</v>
      </c>
      <c r="M384" s="1">
        <f t="shared" si="22"/>
        <v>0.49832775919732442</v>
      </c>
      <c r="N384" s="1">
        <f t="shared" si="23"/>
        <v>0.20805369127516779</v>
      </c>
    </row>
    <row r="385" spans="1:14" x14ac:dyDescent="0.3">
      <c r="A385" t="s">
        <v>508</v>
      </c>
      <c r="B385" s="2" t="s">
        <v>505</v>
      </c>
      <c r="C385" s="2" t="str">
        <f t="shared" si="20"/>
        <v>Apr-2024</v>
      </c>
      <c r="D385" t="s">
        <v>20</v>
      </c>
      <c r="E385" t="s">
        <v>485</v>
      </c>
      <c r="F385" t="s">
        <v>24</v>
      </c>
      <c r="G385">
        <v>1024</v>
      </c>
      <c r="H385">
        <v>301</v>
      </c>
      <c r="I385">
        <v>158</v>
      </c>
      <c r="J385">
        <v>65</v>
      </c>
      <c r="K385">
        <v>820495</v>
      </c>
      <c r="L385" s="1">
        <f t="shared" si="21"/>
        <v>0.2939453125</v>
      </c>
      <c r="M385" s="1">
        <f t="shared" si="22"/>
        <v>0.52491694352159468</v>
      </c>
      <c r="N385" s="1">
        <f t="shared" si="23"/>
        <v>0.41139240506329117</v>
      </c>
    </row>
    <row r="386" spans="1:14" x14ac:dyDescent="0.3">
      <c r="A386" t="s">
        <v>509</v>
      </c>
      <c r="B386" s="2" t="s">
        <v>510</v>
      </c>
      <c r="C386" s="2" t="str">
        <f t="shared" si="20"/>
        <v>Apr-2024</v>
      </c>
      <c r="D386" t="s">
        <v>12</v>
      </c>
      <c r="E386" t="s">
        <v>487</v>
      </c>
      <c r="F386" t="s">
        <v>14</v>
      </c>
      <c r="G386">
        <v>999</v>
      </c>
      <c r="H386">
        <v>271</v>
      </c>
      <c r="I386">
        <v>132</v>
      </c>
      <c r="J386">
        <v>52</v>
      </c>
      <c r="K386">
        <v>751660</v>
      </c>
      <c r="L386" s="1">
        <f t="shared" si="21"/>
        <v>0.27127127127127126</v>
      </c>
      <c r="M386" s="1">
        <f t="shared" si="22"/>
        <v>0.4870848708487085</v>
      </c>
      <c r="N386" s="1">
        <f t="shared" si="23"/>
        <v>0.39393939393939392</v>
      </c>
    </row>
    <row r="387" spans="1:14" x14ac:dyDescent="0.3">
      <c r="A387" t="s">
        <v>511</v>
      </c>
      <c r="B387" s="2" t="s">
        <v>510</v>
      </c>
      <c r="C387" s="2" t="str">
        <f t="shared" ref="C387:C401" si="24">TEXT(B387,"MMM-YYYY")</f>
        <v>Apr-2024</v>
      </c>
      <c r="D387" t="s">
        <v>16</v>
      </c>
      <c r="E387" t="s">
        <v>483</v>
      </c>
      <c r="F387" t="s">
        <v>18</v>
      </c>
      <c r="G387">
        <v>1094</v>
      </c>
      <c r="H387">
        <v>158</v>
      </c>
      <c r="I387">
        <v>103</v>
      </c>
      <c r="J387">
        <v>23</v>
      </c>
      <c r="K387">
        <v>108813</v>
      </c>
      <c r="L387" s="1">
        <f t="shared" ref="L387:L401" si="25">H387/G387</f>
        <v>0.14442413162705667</v>
      </c>
      <c r="M387" s="1">
        <f t="shared" ref="M387:M401" si="26">I387/H387</f>
        <v>0.65189873417721522</v>
      </c>
      <c r="N387" s="1">
        <f t="shared" ref="N387:N401" si="27">J387/I387</f>
        <v>0.22330097087378642</v>
      </c>
    </row>
    <row r="388" spans="1:14" x14ac:dyDescent="0.3">
      <c r="A388" t="s">
        <v>512</v>
      </c>
      <c r="B388" s="2" t="s">
        <v>510</v>
      </c>
      <c r="C388" s="2" t="str">
        <f t="shared" si="24"/>
        <v>Apr-2024</v>
      </c>
      <c r="D388" t="s">
        <v>20</v>
      </c>
      <c r="E388" t="s">
        <v>485</v>
      </c>
      <c r="F388" t="s">
        <v>22</v>
      </c>
      <c r="G388">
        <v>808</v>
      </c>
      <c r="H388">
        <v>107</v>
      </c>
      <c r="I388">
        <v>64</v>
      </c>
      <c r="J388">
        <v>15</v>
      </c>
      <c r="K388">
        <v>173490</v>
      </c>
      <c r="L388" s="1">
        <f t="shared" si="25"/>
        <v>0.13242574257425743</v>
      </c>
      <c r="M388" s="1">
        <f t="shared" si="26"/>
        <v>0.59813084112149528</v>
      </c>
      <c r="N388" s="1">
        <f t="shared" si="27"/>
        <v>0.234375</v>
      </c>
    </row>
    <row r="389" spans="1:14" x14ac:dyDescent="0.3">
      <c r="A389" t="s">
        <v>513</v>
      </c>
      <c r="B389" s="2" t="s">
        <v>510</v>
      </c>
      <c r="C389" s="2" t="str">
        <f t="shared" si="24"/>
        <v>Apr-2024</v>
      </c>
      <c r="D389" t="s">
        <v>12</v>
      </c>
      <c r="E389" t="s">
        <v>487</v>
      </c>
      <c r="F389" t="s">
        <v>24</v>
      </c>
      <c r="G389">
        <v>1168</v>
      </c>
      <c r="H389">
        <v>260</v>
      </c>
      <c r="I389">
        <v>199</v>
      </c>
      <c r="J389">
        <v>62</v>
      </c>
      <c r="K389">
        <v>839356</v>
      </c>
      <c r="L389" s="1">
        <f t="shared" si="25"/>
        <v>0.2226027397260274</v>
      </c>
      <c r="M389" s="1">
        <f t="shared" si="26"/>
        <v>0.76538461538461533</v>
      </c>
      <c r="N389" s="1">
        <f t="shared" si="27"/>
        <v>0.31155778894472363</v>
      </c>
    </row>
    <row r="390" spans="1:14" x14ac:dyDescent="0.3">
      <c r="A390" t="s">
        <v>514</v>
      </c>
      <c r="B390" s="2" t="s">
        <v>515</v>
      </c>
      <c r="C390" s="2" t="str">
        <f t="shared" si="24"/>
        <v>Apr-2024</v>
      </c>
      <c r="D390" t="s">
        <v>16</v>
      </c>
      <c r="E390" t="s">
        <v>483</v>
      </c>
      <c r="F390" t="s">
        <v>14</v>
      </c>
      <c r="G390">
        <v>689</v>
      </c>
      <c r="H390">
        <v>120</v>
      </c>
      <c r="I390">
        <v>57</v>
      </c>
      <c r="J390">
        <v>12</v>
      </c>
      <c r="K390">
        <v>56076</v>
      </c>
      <c r="L390" s="1">
        <f t="shared" si="25"/>
        <v>0.17416545718432511</v>
      </c>
      <c r="M390" s="1">
        <f t="shared" si="26"/>
        <v>0.47499999999999998</v>
      </c>
      <c r="N390" s="1">
        <f t="shared" si="27"/>
        <v>0.21052631578947367</v>
      </c>
    </row>
    <row r="391" spans="1:14" x14ac:dyDescent="0.3">
      <c r="A391" t="s">
        <v>516</v>
      </c>
      <c r="B391" s="2" t="s">
        <v>515</v>
      </c>
      <c r="C391" s="2" t="str">
        <f t="shared" si="24"/>
        <v>Apr-2024</v>
      </c>
      <c r="D391" t="s">
        <v>20</v>
      </c>
      <c r="E391" t="s">
        <v>485</v>
      </c>
      <c r="F391" t="s">
        <v>18</v>
      </c>
      <c r="G391">
        <v>614</v>
      </c>
      <c r="H391">
        <v>68</v>
      </c>
      <c r="I391">
        <v>47</v>
      </c>
      <c r="J391">
        <v>15</v>
      </c>
      <c r="K391">
        <v>73665</v>
      </c>
      <c r="L391" s="1">
        <f t="shared" si="25"/>
        <v>0.11074918566775244</v>
      </c>
      <c r="M391" s="1">
        <f t="shared" si="26"/>
        <v>0.69117647058823528</v>
      </c>
      <c r="N391" s="1">
        <f t="shared" si="27"/>
        <v>0.31914893617021278</v>
      </c>
    </row>
    <row r="392" spans="1:14" x14ac:dyDescent="0.3">
      <c r="A392" t="s">
        <v>517</v>
      </c>
      <c r="B392" s="2" t="s">
        <v>515</v>
      </c>
      <c r="C392" s="2" t="str">
        <f t="shared" si="24"/>
        <v>Apr-2024</v>
      </c>
      <c r="D392" t="s">
        <v>12</v>
      </c>
      <c r="E392" t="s">
        <v>487</v>
      </c>
      <c r="F392" t="s">
        <v>22</v>
      </c>
      <c r="G392">
        <v>1011</v>
      </c>
      <c r="H392">
        <v>231</v>
      </c>
      <c r="I392">
        <v>117</v>
      </c>
      <c r="J392">
        <v>55</v>
      </c>
      <c r="K392">
        <v>238205</v>
      </c>
      <c r="L392" s="1">
        <f t="shared" si="25"/>
        <v>0.228486646884273</v>
      </c>
      <c r="M392" s="1">
        <f t="shared" si="26"/>
        <v>0.50649350649350644</v>
      </c>
      <c r="N392" s="1">
        <f t="shared" si="27"/>
        <v>0.47008547008547008</v>
      </c>
    </row>
    <row r="393" spans="1:14" x14ac:dyDescent="0.3">
      <c r="A393" t="s">
        <v>518</v>
      </c>
      <c r="B393" s="2" t="s">
        <v>515</v>
      </c>
      <c r="C393" s="2" t="str">
        <f t="shared" si="24"/>
        <v>Apr-2024</v>
      </c>
      <c r="D393" t="s">
        <v>16</v>
      </c>
      <c r="E393" t="s">
        <v>483</v>
      </c>
      <c r="F393" t="s">
        <v>24</v>
      </c>
      <c r="G393">
        <v>709</v>
      </c>
      <c r="H393">
        <v>96</v>
      </c>
      <c r="I393">
        <v>43</v>
      </c>
      <c r="J393">
        <v>12</v>
      </c>
      <c r="K393">
        <v>156456</v>
      </c>
      <c r="L393" s="1">
        <f t="shared" si="25"/>
        <v>0.13540197461212977</v>
      </c>
      <c r="M393" s="1">
        <f t="shared" si="26"/>
        <v>0.44791666666666669</v>
      </c>
      <c r="N393" s="1">
        <f t="shared" si="27"/>
        <v>0.27906976744186046</v>
      </c>
    </row>
    <row r="394" spans="1:14" x14ac:dyDescent="0.3">
      <c r="A394" t="s">
        <v>519</v>
      </c>
      <c r="B394" s="2" t="s">
        <v>520</v>
      </c>
      <c r="C394" s="2" t="str">
        <f t="shared" si="24"/>
        <v>Apr-2024</v>
      </c>
      <c r="D394" t="s">
        <v>20</v>
      </c>
      <c r="E394" t="s">
        <v>485</v>
      </c>
      <c r="F394" t="s">
        <v>14</v>
      </c>
      <c r="G394">
        <v>1839</v>
      </c>
      <c r="H394">
        <v>517</v>
      </c>
      <c r="I394">
        <v>255</v>
      </c>
      <c r="J394">
        <v>126</v>
      </c>
      <c r="K394">
        <v>1863666</v>
      </c>
      <c r="L394" s="1">
        <f t="shared" si="25"/>
        <v>0.28113104948341489</v>
      </c>
      <c r="M394" s="1">
        <f t="shared" si="26"/>
        <v>0.49323017408123793</v>
      </c>
      <c r="N394" s="1">
        <f t="shared" si="27"/>
        <v>0.49411764705882355</v>
      </c>
    </row>
    <row r="395" spans="1:14" x14ac:dyDescent="0.3">
      <c r="A395" t="s">
        <v>521</v>
      </c>
      <c r="B395" s="2" t="s">
        <v>520</v>
      </c>
      <c r="C395" s="2" t="str">
        <f t="shared" si="24"/>
        <v>Apr-2024</v>
      </c>
      <c r="D395" t="s">
        <v>12</v>
      </c>
      <c r="E395" t="s">
        <v>487</v>
      </c>
      <c r="F395" t="s">
        <v>18</v>
      </c>
      <c r="G395">
        <v>1977</v>
      </c>
      <c r="H395">
        <v>476</v>
      </c>
      <c r="I395">
        <v>292</v>
      </c>
      <c r="J395">
        <v>131</v>
      </c>
      <c r="K395">
        <v>1747933</v>
      </c>
      <c r="L395" s="1">
        <f t="shared" si="25"/>
        <v>0.24076884167931209</v>
      </c>
      <c r="M395" s="1">
        <f t="shared" si="26"/>
        <v>0.61344537815126055</v>
      </c>
      <c r="N395" s="1">
        <f t="shared" si="27"/>
        <v>0.44863013698630139</v>
      </c>
    </row>
    <row r="396" spans="1:14" x14ac:dyDescent="0.3">
      <c r="A396" t="s">
        <v>522</v>
      </c>
      <c r="B396" s="2" t="s">
        <v>520</v>
      </c>
      <c r="C396" s="2" t="str">
        <f t="shared" si="24"/>
        <v>Apr-2024</v>
      </c>
      <c r="D396" t="s">
        <v>16</v>
      </c>
      <c r="E396" t="s">
        <v>483</v>
      </c>
      <c r="F396" t="s">
        <v>22</v>
      </c>
      <c r="G396">
        <v>803</v>
      </c>
      <c r="H396">
        <v>124</v>
      </c>
      <c r="I396">
        <v>87</v>
      </c>
      <c r="J396">
        <v>34</v>
      </c>
      <c r="K396">
        <v>184756</v>
      </c>
      <c r="L396" s="1">
        <f t="shared" si="25"/>
        <v>0.15442092154420922</v>
      </c>
      <c r="M396" s="1">
        <f t="shared" si="26"/>
        <v>0.70161290322580649</v>
      </c>
      <c r="N396" s="1">
        <f t="shared" si="27"/>
        <v>0.39080459770114945</v>
      </c>
    </row>
    <row r="397" spans="1:14" x14ac:dyDescent="0.3">
      <c r="A397" t="s">
        <v>523</v>
      </c>
      <c r="B397" s="2" t="s">
        <v>520</v>
      </c>
      <c r="C397" s="2" t="str">
        <f t="shared" si="24"/>
        <v>Apr-2024</v>
      </c>
      <c r="D397" t="s">
        <v>20</v>
      </c>
      <c r="E397" t="s">
        <v>485</v>
      </c>
      <c r="F397" t="s">
        <v>24</v>
      </c>
      <c r="G397">
        <v>1392</v>
      </c>
      <c r="H397">
        <v>267</v>
      </c>
      <c r="I397">
        <v>147</v>
      </c>
      <c r="J397">
        <v>70</v>
      </c>
      <c r="K397">
        <v>318640</v>
      </c>
      <c r="L397" s="1">
        <f t="shared" si="25"/>
        <v>0.19181034482758622</v>
      </c>
      <c r="M397" s="1">
        <f t="shared" si="26"/>
        <v>0.550561797752809</v>
      </c>
      <c r="N397" s="1">
        <f t="shared" si="27"/>
        <v>0.47619047619047616</v>
      </c>
    </row>
    <row r="398" spans="1:14" x14ac:dyDescent="0.3">
      <c r="A398" t="s">
        <v>524</v>
      </c>
      <c r="B398" s="2" t="s">
        <v>525</v>
      </c>
      <c r="C398" s="2" t="str">
        <f t="shared" si="24"/>
        <v>Apr-2024</v>
      </c>
      <c r="D398" t="s">
        <v>12</v>
      </c>
      <c r="E398" t="s">
        <v>487</v>
      </c>
      <c r="F398" t="s">
        <v>14</v>
      </c>
      <c r="G398">
        <v>968</v>
      </c>
      <c r="H398">
        <v>135</v>
      </c>
      <c r="I398">
        <v>64</v>
      </c>
      <c r="J398">
        <v>25</v>
      </c>
      <c r="K398">
        <v>267875</v>
      </c>
      <c r="L398" s="1">
        <f t="shared" si="25"/>
        <v>0.13946280991735538</v>
      </c>
      <c r="M398" s="1">
        <f t="shared" si="26"/>
        <v>0.47407407407407409</v>
      </c>
      <c r="N398" s="1">
        <f t="shared" si="27"/>
        <v>0.390625</v>
      </c>
    </row>
    <row r="399" spans="1:14" x14ac:dyDescent="0.3">
      <c r="A399" t="s">
        <v>526</v>
      </c>
      <c r="B399" s="2" t="s">
        <v>525</v>
      </c>
      <c r="C399" s="2" t="str">
        <f t="shared" si="24"/>
        <v>Apr-2024</v>
      </c>
      <c r="D399" t="s">
        <v>16</v>
      </c>
      <c r="E399" t="s">
        <v>483</v>
      </c>
      <c r="F399" t="s">
        <v>18</v>
      </c>
      <c r="G399">
        <v>1512</v>
      </c>
      <c r="H399">
        <v>168</v>
      </c>
      <c r="I399">
        <v>88</v>
      </c>
      <c r="J399">
        <v>24</v>
      </c>
      <c r="K399">
        <v>237984</v>
      </c>
      <c r="L399" s="1">
        <f t="shared" si="25"/>
        <v>0.1111111111111111</v>
      </c>
      <c r="M399" s="1">
        <f t="shared" si="26"/>
        <v>0.52380952380952384</v>
      </c>
      <c r="N399" s="1">
        <f t="shared" si="27"/>
        <v>0.27272727272727271</v>
      </c>
    </row>
    <row r="400" spans="1:14" x14ac:dyDescent="0.3">
      <c r="A400" t="s">
        <v>527</v>
      </c>
      <c r="B400" s="2" t="s">
        <v>525</v>
      </c>
      <c r="C400" s="2" t="str">
        <f t="shared" si="24"/>
        <v>Apr-2024</v>
      </c>
      <c r="D400" t="s">
        <v>20</v>
      </c>
      <c r="E400" t="s">
        <v>485</v>
      </c>
      <c r="F400" t="s">
        <v>22</v>
      </c>
      <c r="G400">
        <v>849</v>
      </c>
      <c r="H400">
        <v>213</v>
      </c>
      <c r="I400">
        <v>149</v>
      </c>
      <c r="J400">
        <v>70</v>
      </c>
      <c r="K400">
        <v>1018920</v>
      </c>
      <c r="L400" s="1">
        <f t="shared" si="25"/>
        <v>0.25088339222614842</v>
      </c>
      <c r="M400" s="1">
        <f t="shared" si="26"/>
        <v>0.69953051643192488</v>
      </c>
      <c r="N400" s="1">
        <f t="shared" si="27"/>
        <v>0.46979865771812079</v>
      </c>
    </row>
    <row r="401" spans="1:14" x14ac:dyDescent="0.3">
      <c r="A401" t="s">
        <v>528</v>
      </c>
      <c r="B401" s="2" t="s">
        <v>525</v>
      </c>
      <c r="C401" s="2" t="str">
        <f t="shared" si="24"/>
        <v>Apr-2024</v>
      </c>
      <c r="D401" t="s">
        <v>12</v>
      </c>
      <c r="E401" t="s">
        <v>487</v>
      </c>
      <c r="F401" t="s">
        <v>24</v>
      </c>
      <c r="G401">
        <v>1811</v>
      </c>
      <c r="H401">
        <v>202</v>
      </c>
      <c r="I401">
        <v>121</v>
      </c>
      <c r="J401">
        <v>24</v>
      </c>
      <c r="K401">
        <v>298824</v>
      </c>
      <c r="L401" s="1">
        <f t="shared" si="25"/>
        <v>0.11154058531198233</v>
      </c>
      <c r="M401" s="1">
        <f t="shared" si="26"/>
        <v>0.59900990099009899</v>
      </c>
      <c r="N401" s="1">
        <f t="shared" si="27"/>
        <v>0.19834710743801653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Sumanth Paranjape</cp:lastModifiedBy>
  <dcterms:created xsi:type="dcterms:W3CDTF">2026-03-05T10:44:29Z</dcterms:created>
  <dcterms:modified xsi:type="dcterms:W3CDTF">2026-03-05T13:29:30Z</dcterms:modified>
</cp:coreProperties>
</file>